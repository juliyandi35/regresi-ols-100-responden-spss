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Bab 4 dan 5 Regresi OLS 100 Responden\"/>
    </mc:Choice>
  </mc:AlternateContent>
  <xr:revisionPtr revIDLastSave="0" documentId="13_ncr:1_{5E67FED4-FC3E-40F4-AFDF-4047E5FB79FF}" xr6:coauthVersionLast="47" xr6:coauthVersionMax="47" xr10:uidLastSave="{00000000-0000-0000-0000-000000000000}"/>
  <bookViews>
    <workbookView xWindow="-110" yWindow="-110" windowWidth="19420" windowHeight="10300" firstSheet="9" activeTab="9" xr2:uid="{D9749217-2E01-4306-B06E-636B714550F5}"/>
  </bookViews>
  <sheets>
    <sheet name="Masa Kerja" sheetId="14" r:id="rId1"/>
    <sheet name="Pendidikan Terakhir" sheetId="15" r:id="rId2"/>
    <sheet name="Jabatan" sheetId="1" r:id="rId3"/>
    <sheet name="X1" sheetId="2" r:id="rId4"/>
    <sheet name="X2" sheetId="4" r:id="rId5"/>
    <sheet name="Y" sheetId="3" r:id="rId6"/>
    <sheet name="Validitas" sheetId="5" r:id="rId7"/>
    <sheet name="Validity Result" sheetId="6" r:id="rId8"/>
    <sheet name="Reliabilitas" sheetId="8" r:id="rId9"/>
    <sheet name="Reliability Result" sheetId="9" r:id="rId10"/>
    <sheet name="Multikolinieritas" sheetId="10" r:id="rId11"/>
    <sheet name="Multicol Result" sheetId="11" r:id="rId12"/>
    <sheet name="Homoskedastisitas" sheetId="12" r:id="rId13"/>
    <sheet name="Homoscedasticity Result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5" l="1" a="1"/>
  <c r="D3" i="5" s="1"/>
  <c r="E3" i="5" s="1"/>
  <c r="D4" i="5" a="1"/>
  <c r="D4" i="5"/>
  <c r="E4" i="5" s="1"/>
  <c r="D5" i="5" a="1"/>
  <c r="D5" i="5"/>
  <c r="E5" i="5" s="1"/>
  <c r="D6" i="5" a="1"/>
  <c r="D6" i="5"/>
  <c r="E6" i="5" s="1"/>
  <c r="D7" i="5" a="1"/>
  <c r="D7" i="5" s="1"/>
  <c r="E7" i="5" s="1"/>
  <c r="D8" i="5" a="1"/>
  <c r="D8" i="5"/>
  <c r="D9" i="5" a="1"/>
  <c r="D9" i="5"/>
  <c r="D10" i="5" a="1"/>
  <c r="D10" i="5"/>
  <c r="E10" i="5" s="1"/>
  <c r="D11" i="5" a="1"/>
  <c r="D11" i="5" s="1"/>
  <c r="E11" i="5" s="1"/>
  <c r="D12" i="5" a="1"/>
  <c r="D12" i="5"/>
  <c r="E12" i="5" s="1"/>
  <c r="D13" i="5" a="1"/>
  <c r="D13" i="5"/>
  <c r="E13" i="5" s="1"/>
  <c r="D14" i="5" a="1"/>
  <c r="D14" i="5"/>
  <c r="E14" i="5" s="1"/>
  <c r="D15" i="5" a="1"/>
  <c r="D15" i="5" s="1"/>
  <c r="E15" i="5" s="1"/>
  <c r="D16" i="5" a="1"/>
  <c r="D16" i="5"/>
  <c r="D17" i="5" a="1"/>
  <c r="D17" i="5"/>
  <c r="D18" i="5" a="1"/>
  <c r="D18" i="5"/>
  <c r="D19" i="5" a="1"/>
  <c r="D19" i="5" s="1"/>
  <c r="E19" i="5" s="1"/>
  <c r="D20" i="5" a="1"/>
  <c r="D20" i="5"/>
  <c r="E20" i="5" s="1"/>
  <c r="D21" i="5" a="1"/>
  <c r="D21" i="5"/>
  <c r="E21" i="5" s="1"/>
  <c r="D2" i="5" a="1"/>
  <c r="D2" i="5"/>
  <c r="C3" i="5" a="1"/>
  <c r="C3" i="5"/>
  <c r="C4" i="5" a="1"/>
  <c r="C4" i="5"/>
  <c r="C5" i="5" a="1"/>
  <c r="C5" i="5"/>
  <c r="C6" i="5" a="1"/>
  <c r="C6" i="5"/>
  <c r="C7" i="5" a="1"/>
  <c r="C7" i="5"/>
  <c r="C8" i="5" a="1"/>
  <c r="C8" i="5"/>
  <c r="C9" i="5" a="1"/>
  <c r="C9" i="5"/>
  <c r="C10" i="5" a="1"/>
  <c r="C10" i="5"/>
  <c r="C11" i="5" a="1"/>
  <c r="C11" i="5"/>
  <c r="C12" i="5" a="1"/>
  <c r="C12" i="5"/>
  <c r="C13" i="5" a="1"/>
  <c r="C13" i="5"/>
  <c r="C14" i="5" a="1"/>
  <c r="C14" i="5"/>
  <c r="C15" i="5" a="1"/>
  <c r="C15" i="5"/>
  <c r="C16" i="5" a="1"/>
  <c r="C16" i="5"/>
  <c r="C17" i="5" a="1"/>
  <c r="C17" i="5"/>
  <c r="C18" i="5" a="1"/>
  <c r="C18" i="5"/>
  <c r="C19" i="5" a="1"/>
  <c r="C19" i="5"/>
  <c r="C20" i="5" a="1"/>
  <c r="C20" i="5"/>
  <c r="C21" i="5" a="1"/>
  <c r="C21" i="5"/>
  <c r="C2" i="5" a="1"/>
  <c r="C2" i="5" s="1"/>
  <c r="J11" i="3"/>
  <c r="J9" i="3"/>
  <c r="F10" i="3" s="1"/>
  <c r="J7" i="3"/>
  <c r="H8" i="3" s="1"/>
  <c r="J5" i="3"/>
  <c r="H6" i="3" s="1"/>
  <c r="H12" i="3"/>
  <c r="G12" i="3"/>
  <c r="F12" i="3"/>
  <c r="E12" i="3"/>
  <c r="D12" i="3"/>
  <c r="H10" i="3"/>
  <c r="F8" i="3"/>
  <c r="E8" i="3"/>
  <c r="D8" i="3"/>
  <c r="H4" i="3"/>
  <c r="F4" i="3"/>
  <c r="E4" i="3"/>
  <c r="D4" i="3"/>
  <c r="J17" i="4"/>
  <c r="D18" i="4" s="1"/>
  <c r="J15" i="4"/>
  <c r="D16" i="4" s="1"/>
  <c r="J13" i="4"/>
  <c r="H14" i="4" s="1"/>
  <c r="J11" i="4"/>
  <c r="E12" i="4" s="1"/>
  <c r="J9" i="4"/>
  <c r="H10" i="4" s="1"/>
  <c r="J7" i="4"/>
  <c r="G8" i="4" s="1"/>
  <c r="J5" i="4"/>
  <c r="D6" i="4" s="1"/>
  <c r="J3" i="4"/>
  <c r="H4" i="4" s="1"/>
  <c r="F18" i="4"/>
  <c r="G18" i="4"/>
  <c r="H18" i="4"/>
  <c r="F8" i="4"/>
  <c r="E8" i="4"/>
  <c r="D8" i="4"/>
  <c r="H6" i="4"/>
  <c r="G6" i="4"/>
  <c r="J9" i="2"/>
  <c r="H10" i="2" s="1"/>
  <c r="F14" i="2"/>
  <c r="H14" i="2"/>
  <c r="E12" i="2"/>
  <c r="E4" i="2"/>
  <c r="F4" i="2"/>
  <c r="G4" i="2"/>
  <c r="H4" i="2"/>
  <c r="D4" i="2"/>
  <c r="J3" i="2"/>
  <c r="E3" i="10"/>
  <c r="E2" i="10"/>
  <c r="B3" i="12"/>
  <c r="C3" i="12" s="1"/>
  <c r="B2" i="12"/>
  <c r="C2" i="12" s="1"/>
  <c r="C3" i="10"/>
  <c r="D3" i="10"/>
  <c r="D2" i="10"/>
  <c r="C2" i="10"/>
  <c r="B4" i="8"/>
  <c r="C4" i="8" s="1"/>
  <c r="B3" i="8"/>
  <c r="C3" i="8" s="1"/>
  <c r="B2" i="8"/>
  <c r="C2" i="8" s="1"/>
  <c r="E8" i="5"/>
  <c r="E9" i="5"/>
  <c r="E16" i="5"/>
  <c r="E17" i="5"/>
  <c r="E18" i="5"/>
  <c r="E2" i="5"/>
  <c r="J15" i="2"/>
  <c r="H16" i="2" s="1"/>
  <c r="J13" i="2"/>
  <c r="E14" i="2" s="1"/>
  <c r="J11" i="2"/>
  <c r="F12" i="2" s="1"/>
  <c r="J7" i="2"/>
  <c r="E8" i="2" s="1"/>
  <c r="J5" i="2"/>
  <c r="E6" i="2" s="1"/>
  <c r="J4" i="2"/>
  <c r="J3" i="3"/>
  <c r="G4" i="3" s="1"/>
  <c r="J4" i="3" s="1"/>
  <c r="D3" i="1"/>
  <c r="D4" i="1"/>
  <c r="D5" i="1"/>
  <c r="D6" i="1"/>
  <c r="D7" i="1"/>
  <c r="D8" i="1"/>
  <c r="D9" i="1"/>
  <c r="D10" i="1"/>
  <c r="D11" i="1"/>
  <c r="D12" i="1"/>
  <c r="D2" i="1"/>
  <c r="D13" i="1" s="1"/>
  <c r="J12" i="3" l="1"/>
  <c r="G10" i="3"/>
  <c r="E18" i="4"/>
  <c r="J18" i="4" s="1"/>
  <c r="F16" i="4"/>
  <c r="H16" i="4"/>
  <c r="E16" i="4"/>
  <c r="J16" i="4" s="1"/>
  <c r="G16" i="4"/>
  <c r="D14" i="4"/>
  <c r="H12" i="4"/>
  <c r="F12" i="4"/>
  <c r="G12" i="4"/>
  <c r="H8" i="4"/>
  <c r="J8" i="4" s="1"/>
  <c r="E6" i="4"/>
  <c r="J6" i="4" s="1"/>
  <c r="F6" i="4"/>
  <c r="E4" i="4"/>
  <c r="E16" i="2"/>
  <c r="G16" i="2"/>
  <c r="F16" i="2"/>
  <c r="D16" i="2"/>
  <c r="J16" i="2" s="1"/>
  <c r="D14" i="2"/>
  <c r="G14" i="2"/>
  <c r="H12" i="2"/>
  <c r="D12" i="2"/>
  <c r="G12" i="2"/>
  <c r="E10" i="2"/>
  <c r="G10" i="2"/>
  <c r="F10" i="2"/>
  <c r="H8" i="2"/>
  <c r="G8" i="2"/>
  <c r="D8" i="2"/>
  <c r="F8" i="2"/>
  <c r="D6" i="2"/>
  <c r="H6" i="2"/>
  <c r="G6" i="2"/>
  <c r="F6" i="2"/>
  <c r="D6" i="3"/>
  <c r="F6" i="3"/>
  <c r="D10" i="3"/>
  <c r="G8" i="3"/>
  <c r="J8" i="3" s="1"/>
  <c r="G6" i="3"/>
  <c r="E10" i="3"/>
  <c r="E6" i="3"/>
  <c r="D10" i="4"/>
  <c r="E10" i="4"/>
  <c r="F4" i="4"/>
  <c r="F10" i="4"/>
  <c r="G4" i="4"/>
  <c r="E14" i="4"/>
  <c r="J14" i="4" s="1"/>
  <c r="F14" i="4"/>
  <c r="D4" i="4"/>
  <c r="D12" i="4"/>
  <c r="J12" i="4" s="1"/>
  <c r="G14" i="4"/>
  <c r="G10" i="4"/>
  <c r="D10" i="2"/>
  <c r="J14" i="2" l="1"/>
  <c r="J12" i="2"/>
  <c r="J10" i="2"/>
  <c r="J8" i="2"/>
  <c r="J6" i="2"/>
  <c r="J10" i="3"/>
  <c r="J6" i="3"/>
  <c r="J4" i="4"/>
  <c r="J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<sst xmlns="http://schemas.openxmlformats.org/spreadsheetml/2006/main" count="591" uniqueCount="131">
  <si>
    <t>Frequency</t>
  </si>
  <si>
    <t>Percent</t>
  </si>
  <si>
    <t>Valid</t>
  </si>
  <si>
    <t>Anggota Pemadam</t>
  </si>
  <si>
    <t>Anggota Tim Penyelamatan</t>
  </si>
  <si>
    <t>Juru Mudi</t>
  </si>
  <si>
    <t>Komandan Peleton</t>
  </si>
  <si>
    <t>Komandan Regu</t>
  </si>
  <si>
    <t>Staff</t>
  </si>
  <si>
    <t>Staff DPKP</t>
  </si>
  <si>
    <t>Staff Pemadaman</t>
  </si>
  <si>
    <t>Staff Pencegahan</t>
  </si>
  <si>
    <t>Staff Sekretariat</t>
  </si>
  <si>
    <t>Tim Rescue</t>
  </si>
  <si>
    <t>Total</t>
  </si>
  <si>
    <t>Jabatan</t>
  </si>
  <si>
    <t>Jumlah Responden</t>
  </si>
  <si>
    <t>Persentase</t>
  </si>
  <si>
    <t>No</t>
  </si>
  <si>
    <t>Jumlah</t>
  </si>
  <si>
    <t>Item</t>
  </si>
  <si>
    <t>Akumulatif jawaban</t>
  </si>
  <si>
    <t>SS</t>
  </si>
  <si>
    <t>S</t>
  </si>
  <si>
    <t>TS</t>
  </si>
  <si>
    <t>STS</t>
  </si>
  <si>
    <t>F</t>
  </si>
  <si>
    <t>%</t>
  </si>
  <si>
    <t>Item Pernyataan</t>
  </si>
  <si>
    <t>Akumulasi Jawaban</t>
  </si>
  <si>
    <t>Pernyataan</t>
  </si>
  <si>
    <t>X11</t>
  </si>
  <si>
    <t>X12</t>
  </si>
  <si>
    <t>X13</t>
  </si>
  <si>
    <t>X14</t>
  </si>
  <si>
    <t>X15</t>
  </si>
  <si>
    <t>X16</t>
  </si>
  <si>
    <t>X17</t>
  </si>
  <si>
    <t>KS</t>
  </si>
  <si>
    <t/>
  </si>
  <si>
    <t>Valid Percent</t>
  </si>
  <si>
    <t>Cumulative Percent</t>
  </si>
  <si>
    <t>Sangat Tidak Setuju</t>
  </si>
  <si>
    <t>Tidak Setuju</t>
  </si>
  <si>
    <t>Kurang Setuju</t>
  </si>
  <si>
    <t>Setuju</t>
  </si>
  <si>
    <t>Sangat Setuju</t>
  </si>
  <si>
    <t>X21</t>
  </si>
  <si>
    <t>X22</t>
  </si>
  <si>
    <t>X23</t>
  </si>
  <si>
    <t>X24</t>
  </si>
  <si>
    <t>X25</t>
  </si>
  <si>
    <t>X26</t>
  </si>
  <si>
    <t>X27</t>
  </si>
  <si>
    <t>X28</t>
  </si>
  <si>
    <t>Y1</t>
  </si>
  <si>
    <t>Y2</t>
  </si>
  <si>
    <t>Y3</t>
  </si>
  <si>
    <t>Y4</t>
  </si>
  <si>
    <t>Y5</t>
  </si>
  <si>
    <t>Variabel</t>
  </si>
  <si>
    <t>R</t>
  </si>
  <si>
    <t>Probabilitas</t>
  </si>
  <si>
    <t>Keterangan</t>
  </si>
  <si>
    <t>X1</t>
  </si>
  <si>
    <t>Pearson Correlation</t>
  </si>
  <si>
    <t>Sig. (2-tailed)</t>
  </si>
  <si>
    <t>X2</t>
  </si>
  <si>
    <t>0,765**</t>
  </si>
  <si>
    <t>0,719**</t>
  </si>
  <si>
    <t>0,599**</t>
  </si>
  <si>
    <t>0,648**</t>
  </si>
  <si>
    <t>0,681**</t>
  </si>
  <si>
    <t>0,566**</t>
  </si>
  <si>
    <t>0,567**</t>
  </si>
  <si>
    <t>0,583**</t>
  </si>
  <si>
    <t>0,606**</t>
  </si>
  <si>
    <t>0,717**</t>
  </si>
  <si>
    <t>Alpha</t>
  </si>
  <si>
    <t>Lingkungan Kerja (X1)</t>
  </si>
  <si>
    <t>Disiplin Kerja (X2)</t>
  </si>
  <si>
    <t>Kinerja Pegawai (Y)</t>
  </si>
  <si>
    <r>
      <t>Lingkungan Kerja (X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>)</t>
    </r>
  </si>
  <si>
    <r>
      <t>Disiplin Kerja (X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</t>
    </r>
  </si>
  <si>
    <t>Cronbach's Alpha</t>
  </si>
  <si>
    <t>N of Items</t>
  </si>
  <si>
    <t>Model</t>
  </si>
  <si>
    <t>Unstandardized Coefficients</t>
  </si>
  <si>
    <t>Standardized Coefficients</t>
  </si>
  <si>
    <t>t</t>
  </si>
  <si>
    <t>Sig.</t>
  </si>
  <si>
    <t>Collinearity Statistics</t>
  </si>
  <si>
    <t>B</t>
  </si>
  <si>
    <t>Std. Error</t>
  </si>
  <si>
    <t>Beta</t>
  </si>
  <si>
    <t>Tolerance</t>
  </si>
  <si>
    <t>VIF</t>
  </si>
  <si>
    <t>1</t>
  </si>
  <si>
    <t>(Constant)</t>
  </si>
  <si>
    <t>a. Dependent Variable: Y</t>
  </si>
  <si>
    <r>
      <t>Coefficients</t>
    </r>
    <r>
      <rPr>
        <b/>
        <vertAlign val="superscript"/>
        <sz val="11"/>
        <color indexed="60"/>
        <rFont val="Arial Bold"/>
      </rPr>
      <t>a</t>
    </r>
  </si>
  <si>
    <t>No.</t>
  </si>
  <si>
    <t>Variabel Bebas</t>
  </si>
  <si>
    <t>1.</t>
  </si>
  <si>
    <t>2.</t>
  </si>
  <si>
    <t>Variabel bebas</t>
  </si>
  <si>
    <t>a. Dependent Variable: AbsRes</t>
  </si>
  <si>
    <t>Masa bekerja</t>
  </si>
  <si>
    <t>Frekuensi</t>
  </si>
  <si>
    <t>&lt; 5 tahun</t>
  </si>
  <si>
    <t>23.2%</t>
  </si>
  <si>
    <t>5-10 tahun</t>
  </si>
  <si>
    <t>62.6%</t>
  </si>
  <si>
    <t>&gt; 15 tahun</t>
  </si>
  <si>
    <t>14.1%</t>
  </si>
  <si>
    <t>Pendidikan</t>
  </si>
  <si>
    <t>SMA/SMK</t>
  </si>
  <si>
    <t>44.4%</t>
  </si>
  <si>
    <t>D3</t>
  </si>
  <si>
    <t>38.4%</t>
  </si>
  <si>
    <t>S1/S2</t>
  </si>
  <si>
    <t>17.2%</t>
  </si>
  <si>
    <t>0,773**</t>
  </si>
  <si>
    <t>0,710**</t>
  </si>
  <si>
    <t>0,647**</t>
  </si>
  <si>
    <t>0,704**</t>
  </si>
  <si>
    <t>0,800**</t>
  </si>
  <si>
    <t>0,758**</t>
  </si>
  <si>
    <t>0,772**</t>
  </si>
  <si>
    <t>0,722**</t>
  </si>
  <si>
    <t>0,776**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</si>
</sst>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0"/>
    <numFmt numFmtId="165" formatCode="###0.0"/>
    <numFmt numFmtId="166" formatCode="###0.000"/>
    <numFmt numFmtId="167" formatCode="_(* #,##0.00_);_(* \(#,##0.00\);_(* &quot;-&quot;??_);_(@_)"/>
    <numFmt numFmtId="168" formatCode="_(&quot;$&quot;* #,##0_);_(&quot;$&quot;* \(#,##0\);_(&quot;$&quot;* &quot;-&quot;_);_(@_)"/>
    <numFmt numFmtId="169" formatCode="_(&quot;$&quot;* #,##0.00_);_(&quot;$&quot;* \(#,##0.00\);_(&quot;$&quot;* &quot;-&quot;??_);_(@_)"/>
    <numFmt numFmtId="170" formatCode="_(* #,##0_);_(* \(#,##0\);_(* &quot;-&quot;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indexed="60"/>
      <name val="Arial Bold"/>
    </font>
    <font>
      <sz val="9"/>
      <color indexed="62"/>
      <name val="Arial"/>
      <family val="2"/>
    </font>
    <font>
      <sz val="9"/>
      <color indexed="60"/>
      <name val="Arial"/>
      <family val="2"/>
    </font>
    <font>
      <sz val="11"/>
      <color indexed="60"/>
      <name val="Times New Roman"/>
      <family val="1"/>
    </font>
    <font>
      <sz val="11"/>
      <name val="Times New Roman"/>
      <family val="1"/>
    </font>
    <font>
      <sz val="12"/>
      <color indexed="60"/>
      <name val="Times New Roman"/>
      <family val="1"/>
    </font>
    <font>
      <vertAlign val="subscript"/>
      <sz val="12"/>
      <color theme="1"/>
      <name val="Times New Roman"/>
      <family val="1"/>
    </font>
    <font>
      <b/>
      <vertAlign val="superscript"/>
      <sz val="11"/>
      <color indexed="60"/>
      <name val="Arial Bold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61"/>
      </top>
      <bottom style="thin">
        <color indexed="61"/>
      </bottom>
      <diagonal/>
    </border>
    <border>
      <left style="thin">
        <color indexed="63"/>
      </left>
      <right/>
      <top style="thin">
        <color indexed="61"/>
      </top>
      <bottom style="thin">
        <color indexed="61"/>
      </bottom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</borders>
  <cellStyleXfs count="9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6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10" fontId="1" fillId="0" borderId="1" xfId="0" applyNumberFormat="1" applyFont="1" applyBorder="1" applyAlignment="1">
      <alignment horizontal="right" vertical="center"/>
    </xf>
    <xf numFmtId="9" fontId="1" fillId="0" borderId="1" xfId="0" applyNumberFormat="1" applyFont="1" applyBorder="1" applyAlignment="1">
      <alignment horizontal="right" vertical="center"/>
    </xf>
    <xf numFmtId="0" fontId="5" fillId="0" borderId="0" xfId="1"/>
    <xf numFmtId="0" fontId="7" fillId="0" borderId="8" xfId="1" applyFont="1" applyBorder="1" applyAlignment="1">
      <alignment horizontal="center" wrapText="1"/>
    </xf>
    <xf numFmtId="0" fontId="7" fillId="0" borderId="9" xfId="1" applyFont="1" applyBorder="1" applyAlignment="1">
      <alignment horizontal="center" wrapText="1"/>
    </xf>
    <xf numFmtId="0" fontId="7" fillId="0" borderId="10" xfId="1" applyFont="1" applyBorder="1" applyAlignment="1">
      <alignment horizontal="center" wrapText="1"/>
    </xf>
    <xf numFmtId="0" fontId="7" fillId="2" borderId="11" xfId="1" applyFont="1" applyFill="1" applyBorder="1" applyAlignment="1">
      <alignment horizontal="left" vertical="top" wrapText="1"/>
    </xf>
    <xf numFmtId="164" fontId="8" fillId="0" borderId="12" xfId="1" applyNumberFormat="1" applyFont="1" applyBorder="1" applyAlignment="1">
      <alignment horizontal="right" vertical="top"/>
    </xf>
    <xf numFmtId="165" fontId="8" fillId="0" borderId="13" xfId="1" applyNumberFormat="1" applyFont="1" applyBorder="1" applyAlignment="1">
      <alignment horizontal="right" vertical="top"/>
    </xf>
    <xf numFmtId="165" fontId="8" fillId="0" borderId="14" xfId="1" applyNumberFormat="1" applyFont="1" applyBorder="1" applyAlignment="1">
      <alignment horizontal="right" vertical="top"/>
    </xf>
    <xf numFmtId="0" fontId="7" fillId="2" borderId="15" xfId="1" applyFont="1" applyFill="1" applyBorder="1" applyAlignment="1">
      <alignment horizontal="left" vertical="top" wrapText="1"/>
    </xf>
    <xf numFmtId="164" fontId="8" fillId="0" borderId="16" xfId="1" applyNumberFormat="1" applyFont="1" applyBorder="1" applyAlignment="1">
      <alignment horizontal="right" vertical="top"/>
    </xf>
    <xf numFmtId="165" fontId="8" fillId="0" borderId="17" xfId="1" applyNumberFormat="1" applyFont="1" applyBorder="1" applyAlignment="1">
      <alignment horizontal="right" vertical="top"/>
    </xf>
    <xf numFmtId="165" fontId="8" fillId="0" borderId="18" xfId="1" applyNumberFormat="1" applyFont="1" applyBorder="1" applyAlignment="1">
      <alignment horizontal="right" vertical="top"/>
    </xf>
    <xf numFmtId="0" fontId="7" fillId="2" borderId="19" xfId="1" applyFont="1" applyFill="1" applyBorder="1" applyAlignment="1">
      <alignment horizontal="left" vertical="top" wrapText="1"/>
    </xf>
    <xf numFmtId="164" fontId="8" fillId="0" borderId="20" xfId="1" applyNumberFormat="1" applyFont="1" applyBorder="1" applyAlignment="1">
      <alignment horizontal="right" vertical="top"/>
    </xf>
    <xf numFmtId="165" fontId="8" fillId="0" borderId="21" xfId="1" applyNumberFormat="1" applyFont="1" applyBorder="1" applyAlignment="1">
      <alignment horizontal="right" vertical="top"/>
    </xf>
    <xf numFmtId="0" fontId="8" fillId="0" borderId="22" xfId="1" applyFont="1" applyBorder="1" applyAlignment="1">
      <alignment horizontal="left" vertical="top" wrapText="1"/>
    </xf>
    <xf numFmtId="0" fontId="5" fillId="0" borderId="0" xfId="2"/>
    <xf numFmtId="0" fontId="7" fillId="0" borderId="8" xfId="2" applyFont="1" applyBorder="1" applyAlignment="1">
      <alignment horizontal="center" wrapText="1"/>
    </xf>
    <xf numFmtId="0" fontId="7" fillId="0" borderId="9" xfId="2" applyFont="1" applyBorder="1" applyAlignment="1">
      <alignment horizontal="center" wrapText="1"/>
    </xf>
    <xf numFmtId="0" fontId="7" fillId="0" borderId="10" xfId="2" applyFont="1" applyBorder="1" applyAlignment="1">
      <alignment horizontal="center" wrapText="1"/>
    </xf>
    <xf numFmtId="0" fontId="7" fillId="2" borderId="11" xfId="2" applyFont="1" applyFill="1" applyBorder="1" applyAlignment="1">
      <alignment horizontal="left" vertical="top" wrapText="1"/>
    </xf>
    <xf numFmtId="164" fontId="8" fillId="0" borderId="12" xfId="2" applyNumberFormat="1" applyFont="1" applyBorder="1" applyAlignment="1">
      <alignment horizontal="right" vertical="top"/>
    </xf>
    <xf numFmtId="165" fontId="8" fillId="0" borderId="13" xfId="2" applyNumberFormat="1" applyFont="1" applyBorder="1" applyAlignment="1">
      <alignment horizontal="right" vertical="top"/>
    </xf>
    <xf numFmtId="165" fontId="8" fillId="0" borderId="14" xfId="2" applyNumberFormat="1" applyFont="1" applyBorder="1" applyAlignment="1">
      <alignment horizontal="right" vertical="top"/>
    </xf>
    <xf numFmtId="0" fontId="7" fillId="2" borderId="15" xfId="2" applyFont="1" applyFill="1" applyBorder="1" applyAlignment="1">
      <alignment horizontal="left" vertical="top" wrapText="1"/>
    </xf>
    <xf numFmtId="164" fontId="8" fillId="0" borderId="16" xfId="2" applyNumberFormat="1" applyFont="1" applyBorder="1" applyAlignment="1">
      <alignment horizontal="right" vertical="top"/>
    </xf>
    <xf numFmtId="165" fontId="8" fillId="0" borderId="17" xfId="2" applyNumberFormat="1" applyFont="1" applyBorder="1" applyAlignment="1">
      <alignment horizontal="right" vertical="top"/>
    </xf>
    <xf numFmtId="165" fontId="8" fillId="0" borderId="18" xfId="2" applyNumberFormat="1" applyFont="1" applyBorder="1" applyAlignment="1">
      <alignment horizontal="right" vertical="top"/>
    </xf>
    <xf numFmtId="0" fontId="7" fillId="2" borderId="19" xfId="2" applyFont="1" applyFill="1" applyBorder="1" applyAlignment="1">
      <alignment horizontal="left" vertical="top" wrapText="1"/>
    </xf>
    <xf numFmtId="164" fontId="8" fillId="0" borderId="20" xfId="2" applyNumberFormat="1" applyFont="1" applyBorder="1" applyAlignment="1">
      <alignment horizontal="right" vertical="top"/>
    </xf>
    <xf numFmtId="165" fontId="8" fillId="0" borderId="21" xfId="2" applyNumberFormat="1" applyFont="1" applyBorder="1" applyAlignment="1">
      <alignment horizontal="right" vertical="top"/>
    </xf>
    <xf numFmtId="0" fontId="8" fillId="0" borderId="22" xfId="2" applyFont="1" applyBorder="1" applyAlignment="1">
      <alignment horizontal="left" vertical="top" wrapText="1"/>
    </xf>
    <xf numFmtId="0" fontId="5" fillId="0" borderId="0" xfId="3"/>
    <xf numFmtId="0" fontId="7" fillId="0" borderId="8" xfId="3" applyFont="1" applyBorder="1" applyAlignment="1">
      <alignment horizontal="center" wrapText="1"/>
    </xf>
    <xf numFmtId="0" fontId="7" fillId="0" borderId="9" xfId="3" applyFont="1" applyBorder="1" applyAlignment="1">
      <alignment horizontal="center" wrapText="1"/>
    </xf>
    <xf numFmtId="0" fontId="7" fillId="0" borderId="10" xfId="3" applyFont="1" applyBorder="1" applyAlignment="1">
      <alignment horizontal="center" wrapText="1"/>
    </xf>
    <xf numFmtId="0" fontId="7" fillId="2" borderId="11" xfId="3" applyFont="1" applyFill="1" applyBorder="1" applyAlignment="1">
      <alignment horizontal="left" vertical="top" wrapText="1"/>
    </xf>
    <xf numFmtId="164" fontId="8" fillId="0" borderId="12" xfId="3" applyNumberFormat="1" applyFont="1" applyBorder="1" applyAlignment="1">
      <alignment horizontal="right" vertical="top"/>
    </xf>
    <xf numFmtId="165" fontId="8" fillId="0" borderId="13" xfId="3" applyNumberFormat="1" applyFont="1" applyBorder="1" applyAlignment="1">
      <alignment horizontal="right" vertical="top"/>
    </xf>
    <xf numFmtId="165" fontId="8" fillId="0" borderId="14" xfId="3" applyNumberFormat="1" applyFont="1" applyBorder="1" applyAlignment="1">
      <alignment horizontal="right" vertical="top"/>
    </xf>
    <xf numFmtId="0" fontId="7" fillId="2" borderId="15" xfId="3" applyFont="1" applyFill="1" applyBorder="1" applyAlignment="1">
      <alignment horizontal="left" vertical="top" wrapText="1"/>
    </xf>
    <xf numFmtId="164" fontId="8" fillId="0" borderId="16" xfId="3" applyNumberFormat="1" applyFont="1" applyBorder="1" applyAlignment="1">
      <alignment horizontal="right" vertical="top"/>
    </xf>
    <xf numFmtId="165" fontId="8" fillId="0" borderId="17" xfId="3" applyNumberFormat="1" applyFont="1" applyBorder="1" applyAlignment="1">
      <alignment horizontal="right" vertical="top"/>
    </xf>
    <xf numFmtId="165" fontId="8" fillId="0" borderId="18" xfId="3" applyNumberFormat="1" applyFont="1" applyBorder="1" applyAlignment="1">
      <alignment horizontal="right" vertical="top"/>
    </xf>
    <xf numFmtId="0" fontId="7" fillId="2" borderId="19" xfId="3" applyFont="1" applyFill="1" applyBorder="1" applyAlignment="1">
      <alignment horizontal="left" vertical="top" wrapText="1"/>
    </xf>
    <xf numFmtId="164" fontId="8" fillId="0" borderId="20" xfId="3" applyNumberFormat="1" applyFont="1" applyBorder="1" applyAlignment="1">
      <alignment horizontal="right" vertical="top"/>
    </xf>
    <xf numFmtId="165" fontId="8" fillId="0" borderId="21" xfId="3" applyNumberFormat="1" applyFont="1" applyBorder="1" applyAlignment="1">
      <alignment horizontal="right" vertical="top"/>
    </xf>
    <xf numFmtId="0" fontId="8" fillId="0" borderId="22" xfId="3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164" fontId="10" fillId="0" borderId="1" xfId="1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164" fontId="9" fillId="0" borderId="1" xfId="2" applyNumberFormat="1" applyFont="1" applyBorder="1" applyAlignment="1">
      <alignment horizontal="center" vertical="top"/>
    </xf>
    <xf numFmtId="164" fontId="11" fillId="0" borderId="1" xfId="3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center" wrapText="1"/>
    </xf>
    <xf numFmtId="0" fontId="5" fillId="0" borderId="0" xfId="4"/>
    <xf numFmtId="0" fontId="7" fillId="2" borderId="11" xfId="4" applyFont="1" applyFill="1" applyBorder="1" applyAlignment="1">
      <alignment horizontal="left" vertical="top" wrapText="1"/>
    </xf>
    <xf numFmtId="0" fontId="7" fillId="2" borderId="15" xfId="4" applyFont="1" applyFill="1" applyBorder="1" applyAlignment="1">
      <alignment horizontal="left" vertical="top" wrapText="1"/>
    </xf>
    <xf numFmtId="0" fontId="7" fillId="2" borderId="24" xfId="4" applyFont="1" applyFill="1" applyBorder="1" applyAlignment="1">
      <alignment vertical="top" wrapText="1"/>
    </xf>
    <xf numFmtId="0" fontId="7" fillId="2" borderId="15" xfId="4" applyFont="1" applyFill="1" applyBorder="1" applyAlignment="1">
      <alignment vertical="top" wrapText="1"/>
    </xf>
    <xf numFmtId="0" fontId="7" fillId="2" borderId="23" xfId="4" applyFont="1" applyFill="1" applyBorder="1" applyAlignment="1">
      <alignment vertical="top" wrapText="1"/>
    </xf>
    <xf numFmtId="166" fontId="11" fillId="0" borderId="1" xfId="4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5"/>
    <xf numFmtId="0" fontId="7" fillId="0" borderId="8" xfId="5" applyFont="1" applyBorder="1" applyAlignment="1">
      <alignment horizontal="center" wrapText="1"/>
    </xf>
    <xf numFmtId="0" fontId="7" fillId="0" borderId="10" xfId="5" applyFont="1" applyBorder="1" applyAlignment="1">
      <alignment horizontal="center" wrapText="1"/>
    </xf>
    <xf numFmtId="166" fontId="8" fillId="0" borderId="25" xfId="5" applyNumberFormat="1" applyFont="1" applyBorder="1" applyAlignment="1">
      <alignment horizontal="right" vertical="top"/>
    </xf>
    <xf numFmtId="164" fontId="8" fillId="0" borderId="26" xfId="5" applyNumberFormat="1" applyFont="1" applyBorder="1" applyAlignment="1">
      <alignment horizontal="right" vertical="top"/>
    </xf>
    <xf numFmtId="0" fontId="5" fillId="0" borderId="0" xfId="6"/>
    <xf numFmtId="0" fontId="7" fillId="0" borderId="28" xfId="6" applyFont="1" applyBorder="1" applyAlignment="1">
      <alignment horizontal="center" wrapText="1"/>
    </xf>
    <xf numFmtId="0" fontId="7" fillId="0" borderId="8" xfId="6" applyFont="1" applyBorder="1" applyAlignment="1">
      <alignment horizontal="center" wrapText="1"/>
    </xf>
    <xf numFmtId="0" fontId="7" fillId="0" borderId="9" xfId="6" applyFont="1" applyBorder="1" applyAlignment="1">
      <alignment horizontal="center" wrapText="1"/>
    </xf>
    <xf numFmtId="0" fontId="7" fillId="0" borderId="10" xfId="6" applyFont="1" applyBorder="1" applyAlignment="1">
      <alignment horizontal="center" wrapText="1"/>
    </xf>
    <xf numFmtId="0" fontId="7" fillId="2" borderId="11" xfId="6" applyFont="1" applyFill="1" applyBorder="1" applyAlignment="1">
      <alignment horizontal="left" vertical="top" wrapText="1"/>
    </xf>
    <xf numFmtId="166" fontId="8" fillId="0" borderId="12" xfId="6" applyNumberFormat="1" applyFont="1" applyBorder="1" applyAlignment="1">
      <alignment horizontal="right" vertical="top"/>
    </xf>
    <xf numFmtId="166" fontId="8" fillId="0" borderId="13" xfId="6" applyNumberFormat="1" applyFont="1" applyBorder="1" applyAlignment="1">
      <alignment horizontal="right" vertical="top"/>
    </xf>
    <xf numFmtId="0" fontId="8" fillId="0" borderId="13" xfId="6" applyFont="1" applyBorder="1" applyAlignment="1">
      <alignment horizontal="left" vertical="top" wrapText="1"/>
    </xf>
    <xf numFmtId="0" fontId="8" fillId="0" borderId="14" xfId="6" applyFont="1" applyBorder="1" applyAlignment="1">
      <alignment horizontal="left" vertical="top" wrapText="1"/>
    </xf>
    <xf numFmtId="0" fontId="7" fillId="2" borderId="15" xfId="6" applyFont="1" applyFill="1" applyBorder="1" applyAlignment="1">
      <alignment horizontal="left" vertical="top" wrapText="1"/>
    </xf>
    <xf numFmtId="166" fontId="8" fillId="0" borderId="16" xfId="6" applyNumberFormat="1" applyFont="1" applyBorder="1" applyAlignment="1">
      <alignment horizontal="right" vertical="top"/>
    </xf>
    <xf numFmtId="166" fontId="8" fillId="0" borderId="17" xfId="6" applyNumberFormat="1" applyFont="1" applyBorder="1" applyAlignment="1">
      <alignment horizontal="right" vertical="top"/>
    </xf>
    <xf numFmtId="166" fontId="8" fillId="0" borderId="18" xfId="6" applyNumberFormat="1" applyFont="1" applyBorder="1" applyAlignment="1">
      <alignment horizontal="right" vertical="top"/>
    </xf>
    <xf numFmtId="0" fontId="7" fillId="2" borderId="19" xfId="6" applyFont="1" applyFill="1" applyBorder="1" applyAlignment="1">
      <alignment horizontal="left" vertical="top" wrapText="1"/>
    </xf>
    <xf numFmtId="166" fontId="8" fillId="0" borderId="20" xfId="6" applyNumberFormat="1" applyFont="1" applyBorder="1" applyAlignment="1">
      <alignment horizontal="right" vertical="top"/>
    </xf>
    <xf numFmtId="166" fontId="8" fillId="0" borderId="21" xfId="6" applyNumberFormat="1" applyFont="1" applyBorder="1" applyAlignment="1">
      <alignment horizontal="right" vertical="top"/>
    </xf>
    <xf numFmtId="166" fontId="8" fillId="0" borderId="22" xfId="6" applyNumberFormat="1" applyFont="1" applyBorder="1" applyAlignment="1">
      <alignment horizontal="right" vertical="top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7"/>
    <xf numFmtId="0" fontId="7" fillId="0" borderId="28" xfId="7" applyFont="1" applyBorder="1" applyAlignment="1">
      <alignment horizontal="center" wrapText="1"/>
    </xf>
    <xf numFmtId="0" fontId="7" fillId="0" borderId="8" xfId="7" applyFont="1" applyBorder="1" applyAlignment="1">
      <alignment horizontal="center" wrapText="1"/>
    </xf>
    <xf numFmtId="0" fontId="7" fillId="0" borderId="9" xfId="7" applyFont="1" applyBorder="1" applyAlignment="1">
      <alignment horizontal="center" wrapText="1"/>
    </xf>
    <xf numFmtId="0" fontId="7" fillId="0" borderId="10" xfId="7" applyFont="1" applyBorder="1" applyAlignment="1">
      <alignment horizontal="center" wrapText="1"/>
    </xf>
    <xf numFmtId="0" fontId="7" fillId="2" borderId="11" xfId="7" applyFont="1" applyFill="1" applyBorder="1" applyAlignment="1">
      <alignment horizontal="left" vertical="top" wrapText="1"/>
    </xf>
    <xf numFmtId="166" fontId="8" fillId="0" borderId="12" xfId="7" applyNumberFormat="1" applyFont="1" applyBorder="1" applyAlignment="1">
      <alignment horizontal="right" vertical="top"/>
    </xf>
    <xf numFmtId="166" fontId="8" fillId="0" borderId="13" xfId="7" applyNumberFormat="1" applyFont="1" applyBorder="1" applyAlignment="1">
      <alignment horizontal="right" vertical="top"/>
    </xf>
    <xf numFmtId="0" fontId="8" fillId="0" borderId="13" xfId="7" applyFont="1" applyBorder="1" applyAlignment="1">
      <alignment horizontal="left" vertical="top" wrapText="1"/>
    </xf>
    <xf numFmtId="0" fontId="7" fillId="2" borderId="15" xfId="7" applyFont="1" applyFill="1" applyBorder="1" applyAlignment="1">
      <alignment horizontal="left" vertical="top" wrapText="1"/>
    </xf>
    <xf numFmtId="166" fontId="8" fillId="0" borderId="16" xfId="7" applyNumberFormat="1" applyFont="1" applyBorder="1" applyAlignment="1">
      <alignment horizontal="right" vertical="top"/>
    </xf>
    <xf numFmtId="166" fontId="8" fillId="0" borderId="17" xfId="7" applyNumberFormat="1" applyFont="1" applyBorder="1" applyAlignment="1">
      <alignment horizontal="right" vertical="top"/>
    </xf>
    <xf numFmtId="166" fontId="8" fillId="0" borderId="18" xfId="7" applyNumberFormat="1" applyFont="1" applyBorder="1" applyAlignment="1">
      <alignment horizontal="right" vertical="top"/>
    </xf>
    <xf numFmtId="0" fontId="7" fillId="2" borderId="19" xfId="7" applyFont="1" applyFill="1" applyBorder="1" applyAlignment="1">
      <alignment horizontal="left" vertical="top" wrapText="1"/>
    </xf>
    <xf numFmtId="166" fontId="8" fillId="0" borderId="20" xfId="7" applyNumberFormat="1" applyFont="1" applyBorder="1" applyAlignment="1">
      <alignment horizontal="right" vertical="top"/>
    </xf>
    <xf numFmtId="166" fontId="8" fillId="0" borderId="21" xfId="7" applyNumberFormat="1" applyFont="1" applyBorder="1" applyAlignment="1">
      <alignment horizontal="right" vertical="top"/>
    </xf>
    <xf numFmtId="166" fontId="8" fillId="0" borderId="22" xfId="7" applyNumberFormat="1" applyFont="1" applyBorder="1" applyAlignment="1">
      <alignment horizontal="right" vertical="top"/>
    </xf>
    <xf numFmtId="9" fontId="3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7" xfId="1" applyFont="1" applyBorder="1" applyAlignment="1">
      <alignment horizontal="left" wrapText="1"/>
    </xf>
    <xf numFmtId="0" fontId="7" fillId="2" borderId="11" xfId="1" applyFont="1" applyFill="1" applyBorder="1" applyAlignment="1">
      <alignment horizontal="left" vertical="top" wrapText="1"/>
    </xf>
    <xf numFmtId="0" fontId="7" fillId="2" borderId="15" xfId="1" applyFont="1" applyFill="1" applyBorder="1" applyAlignment="1">
      <alignment horizontal="left" vertical="top" wrapText="1"/>
    </xf>
    <xf numFmtId="0" fontId="7" fillId="2" borderId="19" xfId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7" fillId="2" borderId="11" xfId="2" applyFont="1" applyFill="1" applyBorder="1" applyAlignment="1">
      <alignment horizontal="left" vertical="top" wrapText="1"/>
    </xf>
    <xf numFmtId="0" fontId="7" fillId="2" borderId="15" xfId="2" applyFont="1" applyFill="1" applyBorder="1" applyAlignment="1">
      <alignment horizontal="left" vertical="top" wrapText="1"/>
    </xf>
    <xf numFmtId="0" fontId="7" fillId="2" borderId="19" xfId="2" applyFont="1" applyFill="1" applyBorder="1" applyAlignment="1">
      <alignment horizontal="left" vertical="top" wrapText="1"/>
    </xf>
    <xf numFmtId="0" fontId="7" fillId="0" borderId="7" xfId="2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7" fillId="0" borderId="7" xfId="3" applyFont="1" applyBorder="1" applyAlignment="1">
      <alignment horizontal="left" wrapText="1"/>
    </xf>
    <xf numFmtId="0" fontId="7" fillId="2" borderId="11" xfId="3" applyFont="1" applyFill="1" applyBorder="1" applyAlignment="1">
      <alignment horizontal="left" vertical="top" wrapText="1"/>
    </xf>
    <xf numFmtId="0" fontId="7" fillId="2" borderId="15" xfId="3" applyFont="1" applyFill="1" applyBorder="1" applyAlignment="1">
      <alignment horizontal="left" vertical="top" wrapText="1"/>
    </xf>
    <xf numFmtId="0" fontId="7" fillId="2" borderId="19" xfId="3" applyFont="1" applyFill="1" applyBorder="1" applyAlignment="1">
      <alignment horizontal="left" vertical="top" wrapText="1"/>
    </xf>
    <xf numFmtId="0" fontId="7" fillId="2" borderId="23" xfId="6" applyFont="1" applyFill="1" applyBorder="1" applyAlignment="1">
      <alignment horizontal="left" vertical="top"/>
    </xf>
    <xf numFmtId="0" fontId="7" fillId="2" borderId="15" xfId="6" applyFont="1" applyFill="1" applyBorder="1" applyAlignment="1">
      <alignment horizontal="left" vertical="top" wrapText="1"/>
    </xf>
    <xf numFmtId="0" fontId="7" fillId="2" borderId="19" xfId="6" applyFont="1" applyFill="1" applyBorder="1" applyAlignment="1">
      <alignment horizontal="left" vertical="top" wrapText="1"/>
    </xf>
    <xf numFmtId="0" fontId="7" fillId="0" borderId="7" xfId="6" applyFont="1" applyBorder="1" applyAlignment="1">
      <alignment horizontal="left" wrapText="1"/>
    </xf>
    <xf numFmtId="0" fontId="7" fillId="0" borderId="27" xfId="6" applyFont="1" applyBorder="1" applyAlignment="1">
      <alignment horizontal="center" wrapText="1"/>
    </xf>
    <xf numFmtId="0" fontId="7" fillId="0" borderId="28" xfId="6" applyFont="1" applyBorder="1" applyAlignment="1">
      <alignment horizontal="center" wrapText="1"/>
    </xf>
    <xf numFmtId="0" fontId="7" fillId="0" borderId="9" xfId="6" applyFont="1" applyBorder="1" applyAlignment="1">
      <alignment horizontal="center" wrapText="1"/>
    </xf>
    <xf numFmtId="0" fontId="7" fillId="0" borderId="29" xfId="6" applyFont="1" applyBorder="1" applyAlignment="1">
      <alignment horizontal="center" wrapText="1"/>
    </xf>
    <xf numFmtId="0" fontId="7" fillId="0" borderId="7" xfId="7" applyFont="1" applyBorder="1" applyAlignment="1">
      <alignment horizontal="left" wrapText="1"/>
    </xf>
    <xf numFmtId="0" fontId="7" fillId="0" borderId="27" xfId="7" applyFont="1" applyBorder="1" applyAlignment="1">
      <alignment horizontal="center" wrapText="1"/>
    </xf>
    <xf numFmtId="0" fontId="7" fillId="0" borderId="28" xfId="7" applyFont="1" applyBorder="1" applyAlignment="1">
      <alignment horizontal="center" wrapText="1"/>
    </xf>
    <xf numFmtId="0" fontId="7" fillId="0" borderId="9" xfId="7" applyFont="1" applyBorder="1" applyAlignment="1">
      <alignment horizontal="center" wrapText="1"/>
    </xf>
    <xf numFmtId="0" fontId="7" fillId="0" borderId="29" xfId="7" applyFont="1" applyBorder="1" applyAlignment="1">
      <alignment horizontal="center" wrapText="1"/>
    </xf>
    <xf numFmtId="0" fontId="7" fillId="2" borderId="23" xfId="7" applyFont="1" applyFill="1" applyBorder="1" applyAlignment="1">
      <alignment horizontal="left" vertical="top"/>
    </xf>
    <xf numFmtId="0" fontId="7" fillId="2" borderId="15" xfId="7" applyFont="1" applyFill="1" applyBorder="1" applyAlignment="1">
      <alignment horizontal="left" vertical="top" wrapText="1"/>
    </xf>
    <xf numFmtId="0" fontId="7" fillId="2" borderId="19" xfId="7" applyFont="1" applyFill="1" applyBorder="1" applyAlignment="1">
      <alignment horizontal="left" vertical="top" wrapText="1"/>
    </xf>
    <xf numFmtId="0" fontId="6" fillId="0" borderId="0" xfId="1" applyFont="1" applyBorder="1" applyAlignment="1">
      <alignment horizontal="center" vertical="center" wrapText="1"/>
    </xf>
    <xf numFmtId="9" fontId="10" fillId="0" borderId="1" xfId="1" applyNumberFormat="1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center" wrapText="1"/>
    </xf>
    <xf numFmtId="9" fontId="9" fillId="0" borderId="1" xfId="2" applyNumberFormat="1" applyFont="1" applyBorder="1" applyAlignment="1">
      <alignment horizontal="center" vertical="top"/>
    </xf>
    <xf numFmtId="0" fontId="6" fillId="0" borderId="0" xfId="2" applyFont="1" applyBorder="1" applyAlignment="1">
      <alignment horizontal="center" vertical="center" wrapText="1"/>
    </xf>
    <xf numFmtId="0" fontId="6" fillId="0" borderId="0" xfId="3" applyFont="1" applyBorder="1" applyAlignment="1">
      <alignment horizontal="center" vertical="center" wrapText="1"/>
    </xf>
    <xf numFmtId="0" fontId="5" fillId="0" borderId="0" xfId="8"/>
    <xf numFmtId="0" fontId="8" fillId="0" borderId="14" xfId="8" applyFont="1" applyBorder="1" applyAlignment="1">
      <alignment horizontal="right" vertical="top"/>
    </xf>
    <xf numFmtId="166" fontId="8" fillId="0" borderId="18" xfId="8" applyNumberFormat="1" applyFont="1" applyBorder="1" applyAlignment="1">
      <alignment horizontal="right" vertical="top"/>
    </xf>
    <xf numFmtId="0" fontId="8" fillId="0" borderId="18" xfId="8" applyFont="1" applyBorder="1" applyAlignment="1">
      <alignment horizontal="right" vertical="top"/>
    </xf>
    <xf numFmtId="0" fontId="6" fillId="0" borderId="0" xfId="6" applyFont="1" applyBorder="1" applyAlignment="1">
      <alignment horizontal="center" vertical="center" wrapText="1"/>
    </xf>
    <xf numFmtId="0" fontId="7" fillId="0" borderId="0" xfId="6" applyFont="1" applyBorder="1" applyAlignment="1">
      <alignment horizontal="left" wrapText="1"/>
    </xf>
    <xf numFmtId="0" fontId="8" fillId="0" borderId="0" xfId="6" applyFont="1" applyBorder="1" applyAlignment="1">
      <alignment horizontal="left" vertical="top" wrapText="1"/>
    </xf>
    <xf numFmtId="0" fontId="6" fillId="0" borderId="0" xfId="7" applyFont="1" applyBorder="1" applyAlignment="1">
      <alignment horizontal="center" vertical="center" wrapText="1"/>
    </xf>
    <xf numFmtId="0" fontId="7" fillId="0" borderId="0" xfId="7" applyFont="1" applyBorder="1" applyAlignment="1">
      <alignment horizontal="left" wrapText="1"/>
    </xf>
    <xf numFmtId="0" fontId="8" fillId="0" borderId="14" xfId="7" applyFont="1" applyBorder="1" applyAlignment="1">
      <alignment horizontal="left" vertical="top" wrapText="1"/>
    </xf>
    <xf numFmtId="0" fontId="8" fillId="0" borderId="0" xfId="7" applyFont="1" applyBorder="1" applyAlignment="1">
      <alignment horizontal="left" vertical="top" wrapText="1"/>
    </xf>
  </cellXfs>
  <cellStyles count="9">
    <cellStyle name="Normal" xfId="0" builtinId="0"/>
    <cellStyle name="Normal_Homoscedasticity Result" xfId="7" xr:uid="{F9234567-3FD7-4C76-9EB5-EBC71B41722F}"/>
    <cellStyle name="Normal_Multicol Result" xfId="6" xr:uid="{163888AF-8A24-44CD-9767-DAFD9C440B9F}"/>
    <cellStyle name="Normal_Reliability Result" xfId="5" xr:uid="{B686C867-5C52-4A1D-8285-0FF6B8BFC8A9}"/>
    <cellStyle name="Normal_Validity Result" xfId="8" xr:uid="{52855890-F86C-4AA8-B6B5-9015BA37D4DC}"/>
    <cellStyle name="Normal_X1" xfId="1" xr:uid="{813BF427-CB06-442D-9736-F552DBE7D988}"/>
    <cellStyle name="Normal_X1 Val" xfId="4" xr:uid="{F5C9291D-6400-4786-BAC5-88DFE2AFF736}"/>
    <cellStyle name="Normal_X2" xfId="2" xr:uid="{34EDA543-2208-4A15-88C1-F69E3D2FDCB7}"/>
    <cellStyle name="Normal_Y" xfId="3" xr:uid="{A847B944-EEE1-49E7-82AB-82276462D2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D5B2-DE34-4E6A-9DB4-6303BE91AE67}">
  <dimension ref="A1:C5"/>
  <sheetViews>
    <sheetView workbookViewId="0">
      <selection sqref="A1:C5"/>
    </sheetView>
  </sheetViews>
  <sheetFormatPr defaultRowHeight="14.5" x14ac:dyDescent="0.35"/>
  <cols>
    <col min="1" max="1" width="13.7265625" bestFit="1" customWidth="1"/>
    <col min="2" max="2" width="10.1796875" bestFit="1" customWidth="1"/>
    <col min="3" max="3" width="10.81640625" bestFit="1" customWidth="1"/>
  </cols>
  <sheetData>
    <row r="1" spans="1:3" ht="15.5" thickBot="1" x14ac:dyDescent="0.4">
      <c r="A1" s="70" t="s">
        <v>107</v>
      </c>
      <c r="B1" s="71" t="s">
        <v>108</v>
      </c>
      <c r="C1" s="71" t="s">
        <v>17</v>
      </c>
    </row>
    <row r="2" spans="1:3" ht="16" thickBot="1" x14ac:dyDescent="0.4">
      <c r="A2" s="72" t="s">
        <v>109</v>
      </c>
      <c r="B2" s="73">
        <v>23</v>
      </c>
      <c r="C2" s="73" t="s">
        <v>110</v>
      </c>
    </row>
    <row r="3" spans="1:3" ht="16" thickBot="1" x14ac:dyDescent="0.4">
      <c r="A3" s="72" t="s">
        <v>111</v>
      </c>
      <c r="B3" s="73">
        <v>62</v>
      </c>
      <c r="C3" s="73" t="s">
        <v>112</v>
      </c>
    </row>
    <row r="4" spans="1:3" ht="16" thickBot="1" x14ac:dyDescent="0.4">
      <c r="A4" s="72" t="s">
        <v>113</v>
      </c>
      <c r="B4" s="73">
        <v>14</v>
      </c>
      <c r="C4" s="73" t="s">
        <v>114</v>
      </c>
    </row>
    <row r="5" spans="1:3" ht="16" thickBot="1" x14ac:dyDescent="0.4">
      <c r="A5" s="72" t="s">
        <v>14</v>
      </c>
      <c r="B5" s="73">
        <v>99</v>
      </c>
      <c r="C5" s="1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6758-F70E-4D64-BB89-665BD34FF710}">
  <dimension ref="A1:D5"/>
  <sheetViews>
    <sheetView workbookViewId="0">
      <selection sqref="A1:D5"/>
    </sheetView>
  </sheetViews>
  <sheetFormatPr defaultRowHeight="14.5" x14ac:dyDescent="0.35"/>
  <cols>
    <col min="1" max="1" width="3.453125" bestFit="1" customWidth="1"/>
    <col min="2" max="2" width="11.453125" bestFit="1" customWidth="1"/>
    <col min="3" max="3" width="18.6328125" bestFit="1" customWidth="1"/>
    <col min="4" max="4" width="10.81640625" bestFit="1" customWidth="1"/>
  </cols>
  <sheetData>
    <row r="1" spans="1:4" ht="15.5" thickBot="1" x14ac:dyDescent="0.4">
      <c r="A1" s="70" t="s">
        <v>18</v>
      </c>
      <c r="B1" s="71" t="s">
        <v>115</v>
      </c>
      <c r="C1" s="71" t="s">
        <v>16</v>
      </c>
      <c r="D1" s="71" t="s">
        <v>17</v>
      </c>
    </row>
    <row r="2" spans="1:4" ht="16" thickBot="1" x14ac:dyDescent="0.4">
      <c r="A2" s="72">
        <v>1</v>
      </c>
      <c r="B2" s="73" t="s">
        <v>116</v>
      </c>
      <c r="C2" s="73">
        <v>44</v>
      </c>
      <c r="D2" s="73" t="s">
        <v>117</v>
      </c>
    </row>
    <row r="3" spans="1:4" ht="16" thickBot="1" x14ac:dyDescent="0.4">
      <c r="A3" s="72">
        <v>2</v>
      </c>
      <c r="B3" s="73" t="s">
        <v>118</v>
      </c>
      <c r="C3" s="73">
        <v>38</v>
      </c>
      <c r="D3" s="73" t="s">
        <v>119</v>
      </c>
    </row>
    <row r="4" spans="1:4" ht="16" thickBot="1" x14ac:dyDescent="0.4">
      <c r="A4" s="72">
        <v>3</v>
      </c>
      <c r="B4" s="73" t="s">
        <v>120</v>
      </c>
      <c r="C4" s="73">
        <v>17</v>
      </c>
      <c r="D4" s="73" t="s">
        <v>121</v>
      </c>
    </row>
    <row r="5" spans="1:4" ht="16" thickBot="1" x14ac:dyDescent="0.4">
      <c r="A5" s="118" t="s">
        <v>19</v>
      </c>
      <c r="B5" s="119"/>
      <c r="C5" s="73">
        <v>99</v>
      </c>
      <c r="D5" s="117">
        <v>1</v>
      </c>
    </row>
  </sheetData>
  <mergeCells count="1"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CD05-C8A4-4561-950B-2F9C57FB362D}">
  <dimension ref="A1:D13"/>
  <sheetViews>
    <sheetView workbookViewId="0">
      <selection sqref="A1:D13"/>
    </sheetView>
  </sheetViews>
  <sheetFormatPr defaultRowHeight="14.5" x14ac:dyDescent="0.35"/>
  <cols>
    <col min="1" max="1" width="3.26953125" bestFit="1" customWidth="1"/>
    <col min="2" max="2" width="23.08984375" bestFit="1" customWidth="1"/>
    <col min="3" max="3" width="15.81640625" bestFit="1" customWidth="1"/>
    <col min="4" max="4" width="9.26953125" bestFit="1" customWidth="1"/>
  </cols>
  <sheetData>
    <row r="1" spans="1:4" x14ac:dyDescent="0.35">
      <c r="A1" s="1" t="s">
        <v>18</v>
      </c>
      <c r="B1" s="2" t="s">
        <v>15</v>
      </c>
      <c r="C1" s="3" t="s">
        <v>16</v>
      </c>
      <c r="D1" s="3" t="s">
        <v>17</v>
      </c>
    </row>
    <row r="2" spans="1:4" x14ac:dyDescent="0.35">
      <c r="A2" s="1">
        <v>1</v>
      </c>
      <c r="B2" s="2" t="s">
        <v>3</v>
      </c>
      <c r="C2" s="4">
        <v>43</v>
      </c>
      <c r="D2" s="5">
        <f>C2/$C$13</f>
        <v>0.43434343434343436</v>
      </c>
    </row>
    <row r="3" spans="1:4" x14ac:dyDescent="0.35">
      <c r="A3" s="1">
        <v>2</v>
      </c>
      <c r="B3" s="2" t="s">
        <v>4</v>
      </c>
      <c r="C3" s="4">
        <v>1</v>
      </c>
      <c r="D3" s="5">
        <f t="shared" ref="D3:D12" si="0">C3/$C$13</f>
        <v>1.0101010101010102E-2</v>
      </c>
    </row>
    <row r="4" spans="1:4" x14ac:dyDescent="0.35">
      <c r="A4" s="1">
        <v>3</v>
      </c>
      <c r="B4" s="2" t="s">
        <v>5</v>
      </c>
      <c r="C4" s="4">
        <v>29</v>
      </c>
      <c r="D4" s="5">
        <f t="shared" si="0"/>
        <v>0.29292929292929293</v>
      </c>
    </row>
    <row r="5" spans="1:4" x14ac:dyDescent="0.35">
      <c r="A5" s="1">
        <v>4</v>
      </c>
      <c r="B5" s="2" t="s">
        <v>6</v>
      </c>
      <c r="C5" s="4">
        <v>4</v>
      </c>
      <c r="D5" s="5">
        <f t="shared" si="0"/>
        <v>4.0404040404040407E-2</v>
      </c>
    </row>
    <row r="6" spans="1:4" x14ac:dyDescent="0.35">
      <c r="A6" s="1">
        <v>5</v>
      </c>
      <c r="B6" s="2" t="s">
        <v>7</v>
      </c>
      <c r="C6" s="4">
        <v>7</v>
      </c>
      <c r="D6" s="5">
        <f t="shared" si="0"/>
        <v>7.0707070707070704E-2</v>
      </c>
    </row>
    <row r="7" spans="1:4" x14ac:dyDescent="0.35">
      <c r="A7" s="1">
        <v>6</v>
      </c>
      <c r="B7" s="2" t="s">
        <v>8</v>
      </c>
      <c r="C7" s="4">
        <v>8</v>
      </c>
      <c r="D7" s="5">
        <f t="shared" si="0"/>
        <v>8.0808080808080815E-2</v>
      </c>
    </row>
    <row r="8" spans="1:4" x14ac:dyDescent="0.35">
      <c r="A8" s="1">
        <v>7</v>
      </c>
      <c r="B8" s="2" t="s">
        <v>9</v>
      </c>
      <c r="C8" s="4">
        <v>1</v>
      </c>
      <c r="D8" s="5">
        <f t="shared" si="0"/>
        <v>1.0101010101010102E-2</v>
      </c>
    </row>
    <row r="9" spans="1:4" x14ac:dyDescent="0.35">
      <c r="A9" s="1">
        <v>8</v>
      </c>
      <c r="B9" s="2" t="s">
        <v>10</v>
      </c>
      <c r="C9" s="4">
        <v>1</v>
      </c>
      <c r="D9" s="5">
        <f t="shared" si="0"/>
        <v>1.0101010101010102E-2</v>
      </c>
    </row>
    <row r="10" spans="1:4" x14ac:dyDescent="0.35">
      <c r="A10" s="1">
        <v>9</v>
      </c>
      <c r="B10" s="2" t="s">
        <v>11</v>
      </c>
      <c r="C10" s="4">
        <v>2</v>
      </c>
      <c r="D10" s="5">
        <f t="shared" si="0"/>
        <v>2.0202020202020204E-2</v>
      </c>
    </row>
    <row r="11" spans="1:4" x14ac:dyDescent="0.35">
      <c r="A11" s="1">
        <v>10</v>
      </c>
      <c r="B11" s="2" t="s">
        <v>12</v>
      </c>
      <c r="C11" s="4">
        <v>1</v>
      </c>
      <c r="D11" s="5">
        <f t="shared" si="0"/>
        <v>1.0101010101010102E-2</v>
      </c>
    </row>
    <row r="12" spans="1:4" x14ac:dyDescent="0.35">
      <c r="A12" s="1">
        <v>11</v>
      </c>
      <c r="B12" s="2" t="s">
        <v>13</v>
      </c>
      <c r="C12" s="4">
        <v>2</v>
      </c>
      <c r="D12" s="5">
        <f t="shared" si="0"/>
        <v>2.0202020202020204E-2</v>
      </c>
    </row>
    <row r="13" spans="1:4" x14ac:dyDescent="0.35">
      <c r="A13" s="120" t="s">
        <v>19</v>
      </c>
      <c r="B13" s="120"/>
      <c r="C13" s="4">
        <v>99</v>
      </c>
      <c r="D13" s="6">
        <f>SUM(D2:D12)</f>
        <v>1</v>
      </c>
    </row>
  </sheetData>
  <mergeCells count="1">
    <mergeCell ref="A13:B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8C2C-0DDF-4D57-A9BE-9BE4A228586A}">
  <dimension ref="A1:J79"/>
  <sheetViews>
    <sheetView topLeftCell="B10" workbookViewId="0">
      <selection activeCell="H16" sqref="H16"/>
    </sheetView>
  </sheetViews>
  <sheetFormatPr defaultRowHeight="14.5" x14ac:dyDescent="0.35"/>
  <cols>
    <col min="4" max="5" width="8.81640625" bestFit="1" customWidth="1"/>
    <col min="6" max="8" width="8.90625" bestFit="1" customWidth="1"/>
  </cols>
  <sheetData>
    <row r="1" spans="1:10" ht="15.5" x14ac:dyDescent="0.35">
      <c r="A1" s="125" t="s">
        <v>18</v>
      </c>
      <c r="B1" s="125" t="s">
        <v>20</v>
      </c>
      <c r="C1" s="125"/>
      <c r="D1" s="125" t="s">
        <v>21</v>
      </c>
      <c r="E1" s="125"/>
      <c r="F1" s="125"/>
      <c r="G1" s="125"/>
      <c r="H1" s="125"/>
      <c r="I1" s="125" t="s">
        <v>14</v>
      </c>
      <c r="J1" s="125"/>
    </row>
    <row r="2" spans="1:10" ht="15.5" x14ac:dyDescent="0.35">
      <c r="A2" s="125"/>
      <c r="B2" s="125"/>
      <c r="C2" s="125"/>
      <c r="D2" s="55" t="s">
        <v>25</v>
      </c>
      <c r="E2" s="55" t="s">
        <v>24</v>
      </c>
      <c r="F2" s="55" t="s">
        <v>38</v>
      </c>
      <c r="G2" s="55" t="s">
        <v>23</v>
      </c>
      <c r="H2" s="55" t="s">
        <v>22</v>
      </c>
      <c r="I2" s="125"/>
      <c r="J2" s="125"/>
    </row>
    <row r="3" spans="1:10" ht="15.5" x14ac:dyDescent="0.35">
      <c r="A3" s="125">
        <v>1</v>
      </c>
      <c r="B3" s="125" t="s">
        <v>31</v>
      </c>
      <c r="C3" s="55" t="s">
        <v>26</v>
      </c>
      <c r="D3" s="56">
        <v>4</v>
      </c>
      <c r="E3" s="56">
        <v>2</v>
      </c>
      <c r="F3" s="56">
        <v>12</v>
      </c>
      <c r="G3" s="56">
        <v>51</v>
      </c>
      <c r="H3" s="56">
        <v>31</v>
      </c>
      <c r="I3" s="55" t="s">
        <v>26</v>
      </c>
      <c r="J3" s="60">
        <f>SUM(D3:H3)</f>
        <v>100</v>
      </c>
    </row>
    <row r="4" spans="1:10" ht="15.5" x14ac:dyDescent="0.35">
      <c r="A4" s="125"/>
      <c r="B4" s="125"/>
      <c r="C4" s="55" t="s">
        <v>27</v>
      </c>
      <c r="D4" s="152">
        <f>D3/$J$3</f>
        <v>0.04</v>
      </c>
      <c r="E4" s="152">
        <f t="shared" ref="E4:H4" si="0">E3/$J$3</f>
        <v>0.02</v>
      </c>
      <c r="F4" s="152">
        <f t="shared" si="0"/>
        <v>0.12</v>
      </c>
      <c r="G4" s="152">
        <f t="shared" si="0"/>
        <v>0.51</v>
      </c>
      <c r="H4" s="152">
        <f t="shared" si="0"/>
        <v>0.31</v>
      </c>
      <c r="I4" s="55" t="s">
        <v>27</v>
      </c>
      <c r="J4" s="153">
        <f t="shared" ref="J4:J16" si="1">SUM(D4:H4)</f>
        <v>1</v>
      </c>
    </row>
    <row r="5" spans="1:10" ht="15.5" x14ac:dyDescent="0.35">
      <c r="A5" s="125">
        <v>2</v>
      </c>
      <c r="B5" s="125" t="s">
        <v>32</v>
      </c>
      <c r="C5" s="55" t="s">
        <v>26</v>
      </c>
      <c r="D5" s="56">
        <v>5</v>
      </c>
      <c r="E5" s="56">
        <v>4</v>
      </c>
      <c r="F5" s="56">
        <v>17</v>
      </c>
      <c r="G5" s="56">
        <v>41</v>
      </c>
      <c r="H5" s="56">
        <v>33</v>
      </c>
      <c r="I5" s="55" t="s">
        <v>26</v>
      </c>
      <c r="J5" s="60">
        <f t="shared" si="1"/>
        <v>100</v>
      </c>
    </row>
    <row r="6" spans="1:10" ht="15.5" x14ac:dyDescent="0.35">
      <c r="A6" s="125"/>
      <c r="B6" s="125"/>
      <c r="C6" s="55" t="s">
        <v>27</v>
      </c>
      <c r="D6" s="152">
        <f>D5/$J$5</f>
        <v>0.05</v>
      </c>
      <c r="E6" s="152">
        <f t="shared" ref="E6:H6" si="2">E5/$J$5</f>
        <v>0.04</v>
      </c>
      <c r="F6" s="152">
        <f t="shared" si="2"/>
        <v>0.17</v>
      </c>
      <c r="G6" s="152">
        <f t="shared" si="2"/>
        <v>0.41</v>
      </c>
      <c r="H6" s="152">
        <f t="shared" si="2"/>
        <v>0.33</v>
      </c>
      <c r="I6" s="55" t="s">
        <v>27</v>
      </c>
      <c r="J6" s="153">
        <f t="shared" si="1"/>
        <v>1</v>
      </c>
    </row>
    <row r="7" spans="1:10" ht="15.5" x14ac:dyDescent="0.35">
      <c r="A7" s="125">
        <v>3</v>
      </c>
      <c r="B7" s="125" t="s">
        <v>33</v>
      </c>
      <c r="C7" s="55" t="s">
        <v>26</v>
      </c>
      <c r="D7" s="56">
        <v>2</v>
      </c>
      <c r="E7" s="56">
        <v>3</v>
      </c>
      <c r="F7" s="56">
        <v>17</v>
      </c>
      <c r="G7" s="56">
        <v>43</v>
      </c>
      <c r="H7" s="56">
        <v>35</v>
      </c>
      <c r="I7" s="55" t="s">
        <v>26</v>
      </c>
      <c r="J7" s="60">
        <f t="shared" si="1"/>
        <v>100</v>
      </c>
    </row>
    <row r="8" spans="1:10" ht="15.5" x14ac:dyDescent="0.35">
      <c r="A8" s="125"/>
      <c r="B8" s="125"/>
      <c r="C8" s="55" t="s">
        <v>27</v>
      </c>
      <c r="D8" s="152">
        <f>D7/$J$7</f>
        <v>0.02</v>
      </c>
      <c r="E8" s="152">
        <f t="shared" ref="E8:H8" si="3">E7/$J$7</f>
        <v>0.03</v>
      </c>
      <c r="F8" s="152">
        <f t="shared" si="3"/>
        <v>0.17</v>
      </c>
      <c r="G8" s="152">
        <f t="shared" si="3"/>
        <v>0.43</v>
      </c>
      <c r="H8" s="152">
        <f t="shared" si="3"/>
        <v>0.35</v>
      </c>
      <c r="I8" s="55" t="s">
        <v>27</v>
      </c>
      <c r="J8" s="153">
        <f t="shared" si="1"/>
        <v>1</v>
      </c>
    </row>
    <row r="9" spans="1:10" ht="15.5" x14ac:dyDescent="0.35">
      <c r="A9" s="125">
        <v>4</v>
      </c>
      <c r="B9" s="125" t="s">
        <v>34</v>
      </c>
      <c r="C9" s="55" t="s">
        <v>26</v>
      </c>
      <c r="D9" s="56">
        <v>4</v>
      </c>
      <c r="E9" s="56">
        <v>2</v>
      </c>
      <c r="F9" s="56">
        <v>19</v>
      </c>
      <c r="G9" s="56">
        <v>49</v>
      </c>
      <c r="H9" s="56">
        <v>26</v>
      </c>
      <c r="I9" s="55" t="s">
        <v>26</v>
      </c>
      <c r="J9" s="60">
        <f t="shared" si="1"/>
        <v>100</v>
      </c>
    </row>
    <row r="10" spans="1:10" ht="15.5" x14ac:dyDescent="0.35">
      <c r="A10" s="125"/>
      <c r="B10" s="125"/>
      <c r="C10" s="55" t="s">
        <v>27</v>
      </c>
      <c r="D10" s="152">
        <f>D9/$J$9</f>
        <v>0.04</v>
      </c>
      <c r="E10" s="152">
        <f t="shared" ref="E10:H10" si="4">E9/$J$9</f>
        <v>0.02</v>
      </c>
      <c r="F10" s="152">
        <f t="shared" si="4"/>
        <v>0.19</v>
      </c>
      <c r="G10" s="152">
        <f t="shared" si="4"/>
        <v>0.49</v>
      </c>
      <c r="H10" s="152">
        <f t="shared" si="4"/>
        <v>0.26</v>
      </c>
      <c r="I10" s="55" t="s">
        <v>27</v>
      </c>
      <c r="J10" s="153">
        <f t="shared" si="1"/>
        <v>1</v>
      </c>
    </row>
    <row r="11" spans="1:10" ht="15.5" x14ac:dyDescent="0.35">
      <c r="A11" s="125">
        <v>5</v>
      </c>
      <c r="B11" s="125" t="s">
        <v>35</v>
      </c>
      <c r="C11" s="55" t="s">
        <v>26</v>
      </c>
      <c r="D11" s="56">
        <v>3</v>
      </c>
      <c r="E11" s="56">
        <v>2</v>
      </c>
      <c r="F11" s="56">
        <v>16</v>
      </c>
      <c r="G11" s="56">
        <v>46</v>
      </c>
      <c r="H11" s="56">
        <v>33</v>
      </c>
      <c r="I11" s="55" t="s">
        <v>26</v>
      </c>
      <c r="J11" s="60">
        <f t="shared" si="1"/>
        <v>100</v>
      </c>
    </row>
    <row r="12" spans="1:10" ht="15.5" x14ac:dyDescent="0.35">
      <c r="A12" s="125"/>
      <c r="B12" s="125"/>
      <c r="C12" s="55" t="s">
        <v>27</v>
      </c>
      <c r="D12" s="152">
        <f>D11/$J$11</f>
        <v>0.03</v>
      </c>
      <c r="E12" s="152">
        <f t="shared" ref="E12:H12" si="5">E11/$J$11</f>
        <v>0.02</v>
      </c>
      <c r="F12" s="152">
        <f t="shared" si="5"/>
        <v>0.16</v>
      </c>
      <c r="G12" s="152">
        <f t="shared" si="5"/>
        <v>0.46</v>
      </c>
      <c r="H12" s="152">
        <f t="shared" si="5"/>
        <v>0.33</v>
      </c>
      <c r="I12" s="55" t="s">
        <v>27</v>
      </c>
      <c r="J12" s="153">
        <f t="shared" si="1"/>
        <v>1</v>
      </c>
    </row>
    <row r="13" spans="1:10" ht="15.5" x14ac:dyDescent="0.35">
      <c r="A13" s="125">
        <v>6</v>
      </c>
      <c r="B13" s="125" t="s">
        <v>36</v>
      </c>
      <c r="C13" s="55" t="s">
        <v>26</v>
      </c>
      <c r="D13" s="56">
        <v>2</v>
      </c>
      <c r="E13" s="56">
        <v>1</v>
      </c>
      <c r="F13" s="56">
        <v>14</v>
      </c>
      <c r="G13" s="56">
        <v>53</v>
      </c>
      <c r="H13" s="56">
        <v>30</v>
      </c>
      <c r="I13" s="55" t="s">
        <v>26</v>
      </c>
      <c r="J13" s="60">
        <f t="shared" si="1"/>
        <v>100</v>
      </c>
    </row>
    <row r="14" spans="1:10" ht="15.5" x14ac:dyDescent="0.35">
      <c r="A14" s="125"/>
      <c r="B14" s="125"/>
      <c r="C14" s="55" t="s">
        <v>27</v>
      </c>
      <c r="D14" s="152">
        <f>D13/$J$13</f>
        <v>0.02</v>
      </c>
      <c r="E14" s="152">
        <f t="shared" ref="E14:H14" si="6">E13/$J$13</f>
        <v>0.01</v>
      </c>
      <c r="F14" s="152">
        <f t="shared" si="6"/>
        <v>0.14000000000000001</v>
      </c>
      <c r="G14" s="152">
        <f t="shared" si="6"/>
        <v>0.53</v>
      </c>
      <c r="H14" s="152">
        <f t="shared" si="6"/>
        <v>0.3</v>
      </c>
      <c r="I14" s="55" t="s">
        <v>27</v>
      </c>
      <c r="J14" s="153">
        <f t="shared" si="1"/>
        <v>1</v>
      </c>
    </row>
    <row r="15" spans="1:10" ht="15.5" x14ac:dyDescent="0.35">
      <c r="A15" s="125">
        <v>7</v>
      </c>
      <c r="B15" s="125" t="s">
        <v>37</v>
      </c>
      <c r="C15" s="55" t="s">
        <v>26</v>
      </c>
      <c r="D15" s="56">
        <v>5</v>
      </c>
      <c r="E15" s="56">
        <v>1</v>
      </c>
      <c r="F15" s="56">
        <v>11</v>
      </c>
      <c r="G15" s="56">
        <v>47</v>
      </c>
      <c r="H15" s="56">
        <v>36</v>
      </c>
      <c r="I15" s="55" t="s">
        <v>26</v>
      </c>
      <c r="J15" s="60">
        <f t="shared" si="1"/>
        <v>100</v>
      </c>
    </row>
    <row r="16" spans="1:10" ht="15.5" x14ac:dyDescent="0.35">
      <c r="A16" s="125"/>
      <c r="B16" s="125"/>
      <c r="C16" s="55" t="s">
        <v>27</v>
      </c>
      <c r="D16" s="152">
        <f>D15/$J$15</f>
        <v>0.05</v>
      </c>
      <c r="E16" s="152">
        <f t="shared" ref="E16:H16" si="7">E15/$J$15</f>
        <v>0.01</v>
      </c>
      <c r="F16" s="152">
        <f t="shared" si="7"/>
        <v>0.11</v>
      </c>
      <c r="G16" s="152">
        <f t="shared" si="7"/>
        <v>0.47</v>
      </c>
      <c r="H16" s="152">
        <f t="shared" si="7"/>
        <v>0.36</v>
      </c>
      <c r="I16" s="55" t="s">
        <v>27</v>
      </c>
      <c r="J16" s="153">
        <f t="shared" si="1"/>
        <v>1</v>
      </c>
    </row>
    <row r="18" spans="1:7" x14ac:dyDescent="0.35">
      <c r="A18" s="151" t="s">
        <v>31</v>
      </c>
      <c r="B18" s="151"/>
      <c r="C18" s="151"/>
      <c r="D18" s="151"/>
      <c r="E18" s="151"/>
      <c r="F18" s="151"/>
      <c r="G18" s="7"/>
    </row>
    <row r="19" spans="1:7" ht="24" x14ac:dyDescent="0.35">
      <c r="A19" s="121" t="s">
        <v>39</v>
      </c>
      <c r="B19" s="121"/>
      <c r="C19" s="8" t="s">
        <v>0</v>
      </c>
      <c r="D19" s="9" t="s">
        <v>1</v>
      </c>
      <c r="E19" s="9" t="s">
        <v>40</v>
      </c>
      <c r="F19" s="10" t="s">
        <v>41</v>
      </c>
      <c r="G19" s="13"/>
    </row>
    <row r="20" spans="1:7" ht="34.5" x14ac:dyDescent="0.35">
      <c r="A20" s="122" t="s">
        <v>2</v>
      </c>
      <c r="B20" s="11" t="s">
        <v>42</v>
      </c>
      <c r="C20" s="12">
        <v>4</v>
      </c>
      <c r="D20" s="13">
        <v>4</v>
      </c>
      <c r="E20" s="13">
        <v>4</v>
      </c>
      <c r="F20" s="14">
        <v>4</v>
      </c>
      <c r="G20" s="13"/>
    </row>
    <row r="21" spans="1:7" ht="23" x14ac:dyDescent="0.35">
      <c r="A21" s="123"/>
      <c r="B21" s="15" t="s">
        <v>43</v>
      </c>
      <c r="C21" s="16">
        <v>2</v>
      </c>
      <c r="D21" s="17">
        <v>2</v>
      </c>
      <c r="E21" s="17">
        <v>2</v>
      </c>
      <c r="F21" s="18">
        <v>6</v>
      </c>
      <c r="G21" s="13"/>
    </row>
    <row r="22" spans="1:7" ht="23" x14ac:dyDescent="0.35">
      <c r="A22" s="123"/>
      <c r="B22" s="15" t="s">
        <v>44</v>
      </c>
      <c r="C22" s="16">
        <v>12</v>
      </c>
      <c r="D22" s="17">
        <v>12</v>
      </c>
      <c r="E22" s="17">
        <v>12</v>
      </c>
      <c r="F22" s="18">
        <v>18</v>
      </c>
      <c r="G22" s="13"/>
    </row>
    <row r="23" spans="1:7" x14ac:dyDescent="0.35">
      <c r="A23" s="123"/>
      <c r="B23" s="15" t="s">
        <v>45</v>
      </c>
      <c r="C23" s="16">
        <v>51</v>
      </c>
      <c r="D23" s="17">
        <v>51</v>
      </c>
      <c r="E23" s="17">
        <v>51</v>
      </c>
      <c r="F23" s="18">
        <v>69</v>
      </c>
      <c r="G23" s="13"/>
    </row>
    <row r="24" spans="1:7" ht="23" x14ac:dyDescent="0.35">
      <c r="A24" s="123"/>
      <c r="B24" s="15" t="s">
        <v>46</v>
      </c>
      <c r="C24" s="16">
        <v>31</v>
      </c>
      <c r="D24" s="17">
        <v>31</v>
      </c>
      <c r="E24" s="17">
        <v>31</v>
      </c>
      <c r="F24" s="18">
        <v>100</v>
      </c>
      <c r="G24" s="13"/>
    </row>
    <row r="25" spans="1:7" x14ac:dyDescent="0.35">
      <c r="A25" s="124"/>
      <c r="B25" s="19" t="s">
        <v>14</v>
      </c>
      <c r="C25" s="20">
        <v>100</v>
      </c>
      <c r="D25" s="21">
        <v>100</v>
      </c>
      <c r="E25" s="21">
        <v>100</v>
      </c>
      <c r="F25" s="22"/>
      <c r="G25" s="13"/>
    </row>
    <row r="27" spans="1:7" x14ac:dyDescent="0.35">
      <c r="A27" s="151" t="s">
        <v>32</v>
      </c>
      <c r="B27" s="151"/>
      <c r="C27" s="151"/>
      <c r="D27" s="151"/>
      <c r="E27" s="151"/>
      <c r="F27" s="151"/>
      <c r="G27" s="7"/>
    </row>
    <row r="28" spans="1:7" ht="24" x14ac:dyDescent="0.35">
      <c r="A28" s="121" t="s">
        <v>39</v>
      </c>
      <c r="B28" s="121"/>
      <c r="C28" s="8" t="s">
        <v>0</v>
      </c>
      <c r="D28" s="9" t="s">
        <v>1</v>
      </c>
      <c r="E28" s="9" t="s">
        <v>40</v>
      </c>
      <c r="F28" s="10" t="s">
        <v>41</v>
      </c>
      <c r="G28" s="13"/>
    </row>
    <row r="29" spans="1:7" ht="34.5" x14ac:dyDescent="0.35">
      <c r="A29" s="122" t="s">
        <v>2</v>
      </c>
      <c r="B29" s="11" t="s">
        <v>42</v>
      </c>
      <c r="C29" s="12">
        <v>5</v>
      </c>
      <c r="D29" s="13">
        <v>5</v>
      </c>
      <c r="E29" s="13">
        <v>5</v>
      </c>
      <c r="F29" s="14">
        <v>5</v>
      </c>
      <c r="G29" s="13"/>
    </row>
    <row r="30" spans="1:7" ht="23" x14ac:dyDescent="0.35">
      <c r="A30" s="123"/>
      <c r="B30" s="15" t="s">
        <v>43</v>
      </c>
      <c r="C30" s="16">
        <v>4</v>
      </c>
      <c r="D30" s="17">
        <v>4</v>
      </c>
      <c r="E30" s="17">
        <v>4</v>
      </c>
      <c r="F30" s="18">
        <v>9</v>
      </c>
      <c r="G30" s="13"/>
    </row>
    <row r="31" spans="1:7" ht="23" x14ac:dyDescent="0.35">
      <c r="A31" s="123"/>
      <c r="B31" s="15" t="s">
        <v>44</v>
      </c>
      <c r="C31" s="16">
        <v>17</v>
      </c>
      <c r="D31" s="17">
        <v>17</v>
      </c>
      <c r="E31" s="17">
        <v>17</v>
      </c>
      <c r="F31" s="18">
        <v>26</v>
      </c>
      <c r="G31" s="13"/>
    </row>
    <row r="32" spans="1:7" x14ac:dyDescent="0.35">
      <c r="A32" s="123"/>
      <c r="B32" s="15" t="s">
        <v>45</v>
      </c>
      <c r="C32" s="16">
        <v>41</v>
      </c>
      <c r="D32" s="17">
        <v>41</v>
      </c>
      <c r="E32" s="17">
        <v>41</v>
      </c>
      <c r="F32" s="18">
        <v>67</v>
      </c>
      <c r="G32" s="13"/>
    </row>
    <row r="33" spans="1:7" ht="23" x14ac:dyDescent="0.35">
      <c r="A33" s="123"/>
      <c r="B33" s="15" t="s">
        <v>46</v>
      </c>
      <c r="C33" s="16">
        <v>33</v>
      </c>
      <c r="D33" s="17">
        <v>33</v>
      </c>
      <c r="E33" s="17">
        <v>33</v>
      </c>
      <c r="F33" s="18">
        <v>100</v>
      </c>
      <c r="G33" s="13"/>
    </row>
    <row r="34" spans="1:7" x14ac:dyDescent="0.35">
      <c r="A34" s="124"/>
      <c r="B34" s="19" t="s">
        <v>14</v>
      </c>
      <c r="C34" s="20">
        <v>100</v>
      </c>
      <c r="D34" s="21">
        <v>100</v>
      </c>
      <c r="E34" s="21">
        <v>100</v>
      </c>
      <c r="F34" s="22"/>
      <c r="G34" s="13"/>
    </row>
    <row r="36" spans="1:7" x14ac:dyDescent="0.35">
      <c r="A36" s="151" t="s">
        <v>33</v>
      </c>
      <c r="B36" s="151"/>
      <c r="C36" s="151"/>
      <c r="D36" s="151"/>
      <c r="E36" s="151"/>
      <c r="F36" s="151"/>
      <c r="G36" s="7"/>
    </row>
    <row r="37" spans="1:7" ht="24" x14ac:dyDescent="0.35">
      <c r="A37" s="121" t="s">
        <v>39</v>
      </c>
      <c r="B37" s="121"/>
      <c r="C37" s="8" t="s">
        <v>0</v>
      </c>
      <c r="D37" s="9" t="s">
        <v>1</v>
      </c>
      <c r="E37" s="9" t="s">
        <v>40</v>
      </c>
      <c r="F37" s="10" t="s">
        <v>41</v>
      </c>
      <c r="G37" s="13"/>
    </row>
    <row r="38" spans="1:7" ht="34.5" x14ac:dyDescent="0.35">
      <c r="A38" s="122" t="s">
        <v>2</v>
      </c>
      <c r="B38" s="11" t="s">
        <v>42</v>
      </c>
      <c r="C38" s="12">
        <v>2</v>
      </c>
      <c r="D38" s="13">
        <v>2</v>
      </c>
      <c r="E38" s="13">
        <v>2</v>
      </c>
      <c r="F38" s="14">
        <v>2</v>
      </c>
      <c r="G38" s="13"/>
    </row>
    <row r="39" spans="1:7" ht="23" x14ac:dyDescent="0.35">
      <c r="A39" s="123"/>
      <c r="B39" s="15" t="s">
        <v>43</v>
      </c>
      <c r="C39" s="16">
        <v>3</v>
      </c>
      <c r="D39" s="17">
        <v>3</v>
      </c>
      <c r="E39" s="17">
        <v>3</v>
      </c>
      <c r="F39" s="18">
        <v>5</v>
      </c>
      <c r="G39" s="13"/>
    </row>
    <row r="40" spans="1:7" ht="23" x14ac:dyDescent="0.35">
      <c r="A40" s="123"/>
      <c r="B40" s="15" t="s">
        <v>44</v>
      </c>
      <c r="C40" s="16">
        <v>17</v>
      </c>
      <c r="D40" s="17">
        <v>17</v>
      </c>
      <c r="E40" s="17">
        <v>17</v>
      </c>
      <c r="F40" s="18">
        <v>22</v>
      </c>
      <c r="G40" s="13"/>
    </row>
    <row r="41" spans="1:7" x14ac:dyDescent="0.35">
      <c r="A41" s="123"/>
      <c r="B41" s="15" t="s">
        <v>45</v>
      </c>
      <c r="C41" s="16">
        <v>43</v>
      </c>
      <c r="D41" s="17">
        <v>43</v>
      </c>
      <c r="E41" s="17">
        <v>43</v>
      </c>
      <c r="F41" s="18">
        <v>65</v>
      </c>
      <c r="G41" s="13"/>
    </row>
    <row r="42" spans="1:7" ht="23" x14ac:dyDescent="0.35">
      <c r="A42" s="123"/>
      <c r="B42" s="15" t="s">
        <v>46</v>
      </c>
      <c r="C42" s="16">
        <v>35</v>
      </c>
      <c r="D42" s="17">
        <v>35</v>
      </c>
      <c r="E42" s="17">
        <v>35</v>
      </c>
      <c r="F42" s="18">
        <v>100</v>
      </c>
      <c r="G42" s="13"/>
    </row>
    <row r="43" spans="1:7" x14ac:dyDescent="0.35">
      <c r="A43" s="124"/>
      <c r="B43" s="19" t="s">
        <v>14</v>
      </c>
      <c r="C43" s="20">
        <v>100</v>
      </c>
      <c r="D43" s="21">
        <v>100</v>
      </c>
      <c r="E43" s="21">
        <v>100</v>
      </c>
      <c r="F43" s="22"/>
      <c r="G43" s="13"/>
    </row>
    <row r="45" spans="1:7" x14ac:dyDescent="0.35">
      <c r="A45" s="151" t="s">
        <v>34</v>
      </c>
      <c r="B45" s="151"/>
      <c r="C45" s="151"/>
      <c r="D45" s="151"/>
      <c r="E45" s="151"/>
      <c r="F45" s="151"/>
      <c r="G45" s="7"/>
    </row>
    <row r="46" spans="1:7" ht="24" x14ac:dyDescent="0.35">
      <c r="A46" s="121" t="s">
        <v>39</v>
      </c>
      <c r="B46" s="121"/>
      <c r="C46" s="8" t="s">
        <v>0</v>
      </c>
      <c r="D46" s="9" t="s">
        <v>1</v>
      </c>
      <c r="E46" s="9" t="s">
        <v>40</v>
      </c>
      <c r="F46" s="10" t="s">
        <v>41</v>
      </c>
      <c r="G46" s="13"/>
    </row>
    <row r="47" spans="1:7" ht="34.5" x14ac:dyDescent="0.35">
      <c r="A47" s="122" t="s">
        <v>2</v>
      </c>
      <c r="B47" s="11" t="s">
        <v>42</v>
      </c>
      <c r="C47" s="12">
        <v>4</v>
      </c>
      <c r="D47" s="13">
        <v>4</v>
      </c>
      <c r="E47" s="13">
        <v>4</v>
      </c>
      <c r="F47" s="14">
        <v>4</v>
      </c>
      <c r="G47" s="13"/>
    </row>
    <row r="48" spans="1:7" ht="23" x14ac:dyDescent="0.35">
      <c r="A48" s="123"/>
      <c r="B48" s="15" t="s">
        <v>43</v>
      </c>
      <c r="C48" s="16">
        <v>2</v>
      </c>
      <c r="D48" s="17">
        <v>2</v>
      </c>
      <c r="E48" s="17">
        <v>2</v>
      </c>
      <c r="F48" s="18">
        <v>6</v>
      </c>
      <c r="G48" s="13"/>
    </row>
    <row r="49" spans="1:7" ht="23" x14ac:dyDescent="0.35">
      <c r="A49" s="123"/>
      <c r="B49" s="15" t="s">
        <v>44</v>
      </c>
      <c r="C49" s="16">
        <v>19</v>
      </c>
      <c r="D49" s="17">
        <v>19</v>
      </c>
      <c r="E49" s="17">
        <v>19</v>
      </c>
      <c r="F49" s="18">
        <v>25</v>
      </c>
      <c r="G49" s="13"/>
    </row>
    <row r="50" spans="1:7" x14ac:dyDescent="0.35">
      <c r="A50" s="123"/>
      <c r="B50" s="15" t="s">
        <v>45</v>
      </c>
      <c r="C50" s="16">
        <v>49</v>
      </c>
      <c r="D50" s="17">
        <v>49</v>
      </c>
      <c r="E50" s="17">
        <v>49</v>
      </c>
      <c r="F50" s="18">
        <v>74</v>
      </c>
      <c r="G50" s="13"/>
    </row>
    <row r="51" spans="1:7" ht="23" x14ac:dyDescent="0.35">
      <c r="A51" s="123"/>
      <c r="B51" s="15" t="s">
        <v>46</v>
      </c>
      <c r="C51" s="16">
        <v>26</v>
      </c>
      <c r="D51" s="17">
        <v>26</v>
      </c>
      <c r="E51" s="17">
        <v>26</v>
      </c>
      <c r="F51" s="18">
        <v>100</v>
      </c>
      <c r="G51" s="13"/>
    </row>
    <row r="52" spans="1:7" x14ac:dyDescent="0.35">
      <c r="A52" s="124"/>
      <c r="B52" s="19" t="s">
        <v>14</v>
      </c>
      <c r="C52" s="20">
        <v>100</v>
      </c>
      <c r="D52" s="21">
        <v>100</v>
      </c>
      <c r="E52" s="21">
        <v>100</v>
      </c>
      <c r="F52" s="22"/>
      <c r="G52" s="13"/>
    </row>
    <row r="54" spans="1:7" x14ac:dyDescent="0.35">
      <c r="A54" s="151" t="s">
        <v>35</v>
      </c>
      <c r="B54" s="151"/>
      <c r="C54" s="151"/>
      <c r="D54" s="151"/>
      <c r="E54" s="151"/>
      <c r="F54" s="151"/>
      <c r="G54" s="7"/>
    </row>
    <row r="55" spans="1:7" ht="24" x14ac:dyDescent="0.35">
      <c r="A55" s="121" t="s">
        <v>39</v>
      </c>
      <c r="B55" s="121"/>
      <c r="C55" s="8" t="s">
        <v>0</v>
      </c>
      <c r="D55" s="9" t="s">
        <v>1</v>
      </c>
      <c r="E55" s="9" t="s">
        <v>40</v>
      </c>
      <c r="F55" s="10" t="s">
        <v>41</v>
      </c>
      <c r="G55" s="13"/>
    </row>
    <row r="56" spans="1:7" ht="34.5" x14ac:dyDescent="0.35">
      <c r="A56" s="122" t="s">
        <v>2</v>
      </c>
      <c r="B56" s="11" t="s">
        <v>42</v>
      </c>
      <c r="C56" s="12">
        <v>3</v>
      </c>
      <c r="D56" s="13">
        <v>3</v>
      </c>
      <c r="E56" s="13">
        <v>3</v>
      </c>
      <c r="F56" s="14">
        <v>3</v>
      </c>
      <c r="G56" s="13"/>
    </row>
    <row r="57" spans="1:7" ht="23" x14ac:dyDescent="0.35">
      <c r="A57" s="123"/>
      <c r="B57" s="15" t="s">
        <v>43</v>
      </c>
      <c r="C57" s="16">
        <v>2</v>
      </c>
      <c r="D57" s="17">
        <v>2</v>
      </c>
      <c r="E57" s="17">
        <v>2</v>
      </c>
      <c r="F57" s="18">
        <v>5</v>
      </c>
      <c r="G57" s="13"/>
    </row>
    <row r="58" spans="1:7" ht="23" x14ac:dyDescent="0.35">
      <c r="A58" s="123"/>
      <c r="B58" s="15" t="s">
        <v>44</v>
      </c>
      <c r="C58" s="16">
        <v>16</v>
      </c>
      <c r="D58" s="17">
        <v>16</v>
      </c>
      <c r="E58" s="17">
        <v>16</v>
      </c>
      <c r="F58" s="18">
        <v>21</v>
      </c>
      <c r="G58" s="13"/>
    </row>
    <row r="59" spans="1:7" x14ac:dyDescent="0.35">
      <c r="A59" s="123"/>
      <c r="B59" s="15" t="s">
        <v>45</v>
      </c>
      <c r="C59" s="16">
        <v>46</v>
      </c>
      <c r="D59" s="17">
        <v>46</v>
      </c>
      <c r="E59" s="17">
        <v>46</v>
      </c>
      <c r="F59" s="18">
        <v>67</v>
      </c>
      <c r="G59" s="13"/>
    </row>
    <row r="60" spans="1:7" ht="23" x14ac:dyDescent="0.35">
      <c r="A60" s="123"/>
      <c r="B60" s="15" t="s">
        <v>46</v>
      </c>
      <c r="C60" s="16">
        <v>33</v>
      </c>
      <c r="D60" s="17">
        <v>33</v>
      </c>
      <c r="E60" s="17">
        <v>33</v>
      </c>
      <c r="F60" s="18">
        <v>100</v>
      </c>
      <c r="G60" s="13"/>
    </row>
    <row r="61" spans="1:7" x14ac:dyDescent="0.35">
      <c r="A61" s="124"/>
      <c r="B61" s="19" t="s">
        <v>14</v>
      </c>
      <c r="C61" s="20">
        <v>100</v>
      </c>
      <c r="D61" s="21">
        <v>100</v>
      </c>
      <c r="E61" s="21">
        <v>100</v>
      </c>
      <c r="F61" s="22"/>
      <c r="G61" s="13"/>
    </row>
    <row r="63" spans="1:7" x14ac:dyDescent="0.35">
      <c r="A63" s="151" t="s">
        <v>36</v>
      </c>
      <c r="B63" s="151"/>
      <c r="C63" s="151"/>
      <c r="D63" s="151"/>
      <c r="E63" s="151"/>
      <c r="F63" s="151"/>
      <c r="G63" s="7"/>
    </row>
    <row r="64" spans="1:7" ht="24" x14ac:dyDescent="0.35">
      <c r="A64" s="121" t="s">
        <v>39</v>
      </c>
      <c r="B64" s="121"/>
      <c r="C64" s="8" t="s">
        <v>0</v>
      </c>
      <c r="D64" s="9" t="s">
        <v>1</v>
      </c>
      <c r="E64" s="9" t="s">
        <v>40</v>
      </c>
      <c r="F64" s="10" t="s">
        <v>41</v>
      </c>
      <c r="G64" s="13"/>
    </row>
    <row r="65" spans="1:7" ht="34.5" x14ac:dyDescent="0.35">
      <c r="A65" s="122" t="s">
        <v>2</v>
      </c>
      <c r="B65" s="11" t="s">
        <v>42</v>
      </c>
      <c r="C65" s="12">
        <v>2</v>
      </c>
      <c r="D65" s="13">
        <v>2</v>
      </c>
      <c r="E65" s="13">
        <v>2</v>
      </c>
      <c r="F65" s="14">
        <v>2</v>
      </c>
      <c r="G65" s="13"/>
    </row>
    <row r="66" spans="1:7" ht="23" x14ac:dyDescent="0.35">
      <c r="A66" s="123"/>
      <c r="B66" s="15" t="s">
        <v>43</v>
      </c>
      <c r="C66" s="16">
        <v>1</v>
      </c>
      <c r="D66" s="17">
        <v>1</v>
      </c>
      <c r="E66" s="17">
        <v>1</v>
      </c>
      <c r="F66" s="18">
        <v>3</v>
      </c>
      <c r="G66" s="13"/>
    </row>
    <row r="67" spans="1:7" ht="23" x14ac:dyDescent="0.35">
      <c r="A67" s="123"/>
      <c r="B67" s="15" t="s">
        <v>44</v>
      </c>
      <c r="C67" s="16">
        <v>14</v>
      </c>
      <c r="D67" s="17">
        <v>14.000000000000002</v>
      </c>
      <c r="E67" s="17">
        <v>14.000000000000002</v>
      </c>
      <c r="F67" s="18">
        <v>17</v>
      </c>
      <c r="G67" s="13"/>
    </row>
    <row r="68" spans="1:7" x14ac:dyDescent="0.35">
      <c r="A68" s="123"/>
      <c r="B68" s="15" t="s">
        <v>45</v>
      </c>
      <c r="C68" s="16">
        <v>53</v>
      </c>
      <c r="D68" s="17">
        <v>53</v>
      </c>
      <c r="E68" s="17">
        <v>53</v>
      </c>
      <c r="F68" s="18">
        <v>70</v>
      </c>
      <c r="G68" s="13"/>
    </row>
    <row r="69" spans="1:7" ht="23" x14ac:dyDescent="0.35">
      <c r="A69" s="123"/>
      <c r="B69" s="15" t="s">
        <v>46</v>
      </c>
      <c r="C69" s="16">
        <v>30</v>
      </c>
      <c r="D69" s="17">
        <v>30</v>
      </c>
      <c r="E69" s="17">
        <v>30</v>
      </c>
      <c r="F69" s="18">
        <v>100</v>
      </c>
      <c r="G69" s="13"/>
    </row>
    <row r="70" spans="1:7" x14ac:dyDescent="0.35">
      <c r="A70" s="124"/>
      <c r="B70" s="19" t="s">
        <v>14</v>
      </c>
      <c r="C70" s="20">
        <v>100</v>
      </c>
      <c r="D70" s="21">
        <v>100</v>
      </c>
      <c r="E70" s="21">
        <v>100</v>
      </c>
      <c r="F70" s="22"/>
      <c r="G70" s="13"/>
    </row>
    <row r="72" spans="1:7" x14ac:dyDescent="0.35">
      <c r="A72" s="151" t="s">
        <v>37</v>
      </c>
      <c r="B72" s="151"/>
      <c r="C72" s="151"/>
      <c r="D72" s="151"/>
      <c r="E72" s="151"/>
      <c r="F72" s="151"/>
      <c r="G72" s="7"/>
    </row>
    <row r="73" spans="1:7" ht="24" x14ac:dyDescent="0.35">
      <c r="A73" s="121" t="s">
        <v>39</v>
      </c>
      <c r="B73" s="121"/>
      <c r="C73" s="8" t="s">
        <v>0</v>
      </c>
      <c r="D73" s="9" t="s">
        <v>1</v>
      </c>
      <c r="E73" s="9" t="s">
        <v>40</v>
      </c>
      <c r="F73" s="10" t="s">
        <v>41</v>
      </c>
      <c r="G73" s="13"/>
    </row>
    <row r="74" spans="1:7" ht="34.5" x14ac:dyDescent="0.35">
      <c r="A74" s="122" t="s">
        <v>2</v>
      </c>
      <c r="B74" s="11" t="s">
        <v>42</v>
      </c>
      <c r="C74" s="12">
        <v>5</v>
      </c>
      <c r="D74" s="13">
        <v>5</v>
      </c>
      <c r="E74" s="13">
        <v>5</v>
      </c>
      <c r="F74" s="14">
        <v>5</v>
      </c>
      <c r="G74" s="13"/>
    </row>
    <row r="75" spans="1:7" ht="23" x14ac:dyDescent="0.35">
      <c r="A75" s="123"/>
      <c r="B75" s="15" t="s">
        <v>43</v>
      </c>
      <c r="C75" s="16">
        <v>1</v>
      </c>
      <c r="D75" s="17">
        <v>1</v>
      </c>
      <c r="E75" s="17">
        <v>1</v>
      </c>
      <c r="F75" s="18">
        <v>6</v>
      </c>
      <c r="G75" s="13"/>
    </row>
    <row r="76" spans="1:7" ht="23" x14ac:dyDescent="0.35">
      <c r="A76" s="123"/>
      <c r="B76" s="15" t="s">
        <v>44</v>
      </c>
      <c r="C76" s="16">
        <v>11</v>
      </c>
      <c r="D76" s="17">
        <v>11</v>
      </c>
      <c r="E76" s="17">
        <v>11</v>
      </c>
      <c r="F76" s="18">
        <v>17</v>
      </c>
      <c r="G76" s="13"/>
    </row>
    <row r="77" spans="1:7" x14ac:dyDescent="0.35">
      <c r="A77" s="123"/>
      <c r="B77" s="15" t="s">
        <v>45</v>
      </c>
      <c r="C77" s="16">
        <v>47</v>
      </c>
      <c r="D77" s="17">
        <v>47</v>
      </c>
      <c r="E77" s="17">
        <v>47</v>
      </c>
      <c r="F77" s="18">
        <v>64</v>
      </c>
      <c r="G77" s="13"/>
    </row>
    <row r="78" spans="1:7" ht="23" x14ac:dyDescent="0.35">
      <c r="A78" s="123"/>
      <c r="B78" s="15" t="s">
        <v>46</v>
      </c>
      <c r="C78" s="16">
        <v>36</v>
      </c>
      <c r="D78" s="17">
        <v>36</v>
      </c>
      <c r="E78" s="17">
        <v>36</v>
      </c>
      <c r="F78" s="18">
        <v>100</v>
      </c>
      <c r="G78" s="13"/>
    </row>
    <row r="79" spans="1:7" x14ac:dyDescent="0.35">
      <c r="A79" s="124"/>
      <c r="B79" s="19" t="s">
        <v>14</v>
      </c>
      <c r="C79" s="20">
        <v>100</v>
      </c>
      <c r="D79" s="21">
        <v>100</v>
      </c>
      <c r="E79" s="21">
        <v>100</v>
      </c>
      <c r="F79" s="22"/>
      <c r="G79" s="13"/>
    </row>
  </sheetData>
  <mergeCells count="39">
    <mergeCell ref="A38:A43"/>
    <mergeCell ref="A45:F45"/>
    <mergeCell ref="A46:B46"/>
    <mergeCell ref="A47:A52"/>
    <mergeCell ref="A54:F54"/>
    <mergeCell ref="A1:A2"/>
    <mergeCell ref="B1:C2"/>
    <mergeCell ref="D1:H1"/>
    <mergeCell ref="I1:J2"/>
    <mergeCell ref="A3:A4"/>
    <mergeCell ref="B3:B4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A15:A16"/>
    <mergeCell ref="B15:B16"/>
    <mergeCell ref="A18:F18"/>
    <mergeCell ref="A19:B19"/>
    <mergeCell ref="A20:A25"/>
    <mergeCell ref="A27:F27"/>
    <mergeCell ref="A28:B28"/>
    <mergeCell ref="A29:A34"/>
    <mergeCell ref="A36:F36"/>
    <mergeCell ref="A37:B37"/>
    <mergeCell ref="A55:B55"/>
    <mergeCell ref="A56:A61"/>
    <mergeCell ref="A63:F63"/>
    <mergeCell ref="A64:B64"/>
    <mergeCell ref="A65:A70"/>
    <mergeCell ref="A72:F72"/>
    <mergeCell ref="A73:B73"/>
    <mergeCell ref="A74:A79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B530-93BB-4E75-9828-DAE8B8197B8E}">
  <dimension ref="A1:J90"/>
  <sheetViews>
    <sheetView topLeftCell="A16" workbookViewId="0">
      <selection activeCell="G18" sqref="G18"/>
    </sheetView>
  </sheetViews>
  <sheetFormatPr defaultRowHeight="14.5" x14ac:dyDescent="0.35"/>
  <sheetData>
    <row r="1" spans="1:10" x14ac:dyDescent="0.35">
      <c r="A1" s="130" t="s">
        <v>18</v>
      </c>
      <c r="B1" s="130" t="s">
        <v>20</v>
      </c>
      <c r="C1" s="130"/>
      <c r="D1" s="130" t="s">
        <v>29</v>
      </c>
      <c r="E1" s="130"/>
      <c r="F1" s="130"/>
      <c r="G1" s="130"/>
      <c r="H1" s="130"/>
      <c r="I1" s="130" t="s">
        <v>14</v>
      </c>
      <c r="J1" s="130"/>
    </row>
    <row r="2" spans="1:10" ht="15" customHeight="1" x14ac:dyDescent="0.35">
      <c r="A2" s="130"/>
      <c r="B2" s="130" t="s">
        <v>30</v>
      </c>
      <c r="C2" s="130"/>
      <c r="D2" s="57" t="s">
        <v>25</v>
      </c>
      <c r="E2" s="57" t="s">
        <v>24</v>
      </c>
      <c r="F2" s="57" t="s">
        <v>38</v>
      </c>
      <c r="G2" s="57" t="s">
        <v>23</v>
      </c>
      <c r="H2" s="57" t="s">
        <v>22</v>
      </c>
      <c r="I2" s="130"/>
      <c r="J2" s="130"/>
    </row>
    <row r="3" spans="1:10" ht="15.5" x14ac:dyDescent="0.35">
      <c r="A3" s="130">
        <v>1</v>
      </c>
      <c r="B3" s="130" t="s">
        <v>47</v>
      </c>
      <c r="C3" s="57" t="s">
        <v>26</v>
      </c>
      <c r="D3" s="58">
        <v>2</v>
      </c>
      <c r="E3" s="58">
        <v>2</v>
      </c>
      <c r="F3" s="58">
        <v>15</v>
      </c>
      <c r="G3" s="58">
        <v>50</v>
      </c>
      <c r="H3" s="58">
        <v>31</v>
      </c>
      <c r="I3" s="57" t="s">
        <v>26</v>
      </c>
      <c r="J3" s="60">
        <f>SUM(D3:H3)</f>
        <v>100</v>
      </c>
    </row>
    <row r="4" spans="1:10" ht="15.5" x14ac:dyDescent="0.35">
      <c r="A4" s="130"/>
      <c r="B4" s="130"/>
      <c r="C4" s="57" t="s">
        <v>27</v>
      </c>
      <c r="D4" s="152">
        <f>D3/$J$3</f>
        <v>0.02</v>
      </c>
      <c r="E4" s="152">
        <f t="shared" ref="E4:H4" si="0">E3/$J$3</f>
        <v>0.02</v>
      </c>
      <c r="F4" s="152">
        <f t="shared" si="0"/>
        <v>0.15</v>
      </c>
      <c r="G4" s="152">
        <f t="shared" si="0"/>
        <v>0.5</v>
      </c>
      <c r="H4" s="152">
        <f t="shared" si="0"/>
        <v>0.31</v>
      </c>
      <c r="I4" s="57" t="s">
        <v>27</v>
      </c>
      <c r="J4" s="153">
        <f t="shared" ref="J4:J18" si="1">SUM(D4:H4)</f>
        <v>1</v>
      </c>
    </row>
    <row r="5" spans="1:10" ht="15.5" x14ac:dyDescent="0.35">
      <c r="A5" s="130">
        <v>2</v>
      </c>
      <c r="B5" s="130" t="s">
        <v>48</v>
      </c>
      <c r="C5" s="57" t="s">
        <v>26</v>
      </c>
      <c r="D5" s="58">
        <v>2</v>
      </c>
      <c r="E5" s="58">
        <v>2</v>
      </c>
      <c r="F5" s="58">
        <v>12</v>
      </c>
      <c r="G5" s="58">
        <v>43</v>
      </c>
      <c r="H5" s="58">
        <v>41</v>
      </c>
      <c r="I5" s="57" t="s">
        <v>26</v>
      </c>
      <c r="J5" s="60">
        <f t="shared" si="1"/>
        <v>100</v>
      </c>
    </row>
    <row r="6" spans="1:10" ht="15.5" x14ac:dyDescent="0.35">
      <c r="A6" s="130"/>
      <c r="B6" s="130"/>
      <c r="C6" s="57" t="s">
        <v>27</v>
      </c>
      <c r="D6" s="152">
        <f>D5/$J$5</f>
        <v>0.02</v>
      </c>
      <c r="E6" s="152">
        <f t="shared" ref="E6:H6" si="2">E5/$J$5</f>
        <v>0.02</v>
      </c>
      <c r="F6" s="152">
        <f t="shared" si="2"/>
        <v>0.12</v>
      </c>
      <c r="G6" s="152">
        <f t="shared" si="2"/>
        <v>0.43</v>
      </c>
      <c r="H6" s="152">
        <f t="shared" si="2"/>
        <v>0.41</v>
      </c>
      <c r="I6" s="57" t="s">
        <v>27</v>
      </c>
      <c r="J6" s="153">
        <f t="shared" si="1"/>
        <v>1</v>
      </c>
    </row>
    <row r="7" spans="1:10" ht="15.5" x14ac:dyDescent="0.35">
      <c r="A7" s="130">
        <v>3</v>
      </c>
      <c r="B7" s="130" t="s">
        <v>49</v>
      </c>
      <c r="C7" s="57" t="s">
        <v>26</v>
      </c>
      <c r="D7" s="58">
        <v>3</v>
      </c>
      <c r="E7" s="58">
        <v>8</v>
      </c>
      <c r="F7" s="58">
        <v>16</v>
      </c>
      <c r="G7" s="58">
        <v>49</v>
      </c>
      <c r="H7" s="58">
        <v>24</v>
      </c>
      <c r="I7" s="57" t="s">
        <v>26</v>
      </c>
      <c r="J7" s="60">
        <f t="shared" si="1"/>
        <v>100</v>
      </c>
    </row>
    <row r="8" spans="1:10" ht="15.5" x14ac:dyDescent="0.35">
      <c r="A8" s="130"/>
      <c r="B8" s="130"/>
      <c r="C8" s="57" t="s">
        <v>27</v>
      </c>
      <c r="D8" s="152">
        <f>D7/$J$7</f>
        <v>0.03</v>
      </c>
      <c r="E8" s="152">
        <f t="shared" ref="E8:H8" si="3">E7/$J$7</f>
        <v>0.08</v>
      </c>
      <c r="F8" s="152">
        <f t="shared" si="3"/>
        <v>0.16</v>
      </c>
      <c r="G8" s="152">
        <f t="shared" si="3"/>
        <v>0.49</v>
      </c>
      <c r="H8" s="152">
        <f t="shared" si="3"/>
        <v>0.24</v>
      </c>
      <c r="I8" s="57" t="s">
        <v>27</v>
      </c>
      <c r="J8" s="153">
        <f t="shared" si="1"/>
        <v>1</v>
      </c>
    </row>
    <row r="9" spans="1:10" ht="15.5" x14ac:dyDescent="0.35">
      <c r="A9" s="130">
        <v>4</v>
      </c>
      <c r="B9" s="130" t="s">
        <v>50</v>
      </c>
      <c r="C9" s="57" t="s">
        <v>26</v>
      </c>
      <c r="D9" s="58">
        <v>1</v>
      </c>
      <c r="E9" s="58">
        <v>6</v>
      </c>
      <c r="F9" s="58">
        <v>22</v>
      </c>
      <c r="G9" s="58">
        <v>39</v>
      </c>
      <c r="H9" s="58">
        <v>32</v>
      </c>
      <c r="I9" s="57" t="s">
        <v>26</v>
      </c>
      <c r="J9" s="60">
        <f t="shared" si="1"/>
        <v>100</v>
      </c>
    </row>
    <row r="10" spans="1:10" ht="15.5" x14ac:dyDescent="0.35">
      <c r="A10" s="130"/>
      <c r="B10" s="130"/>
      <c r="C10" s="57" t="s">
        <v>27</v>
      </c>
      <c r="D10" s="152">
        <f>D9/$J$9</f>
        <v>0.01</v>
      </c>
      <c r="E10" s="152">
        <f t="shared" ref="E10:H10" si="4">E9/$J$9</f>
        <v>0.06</v>
      </c>
      <c r="F10" s="152">
        <f t="shared" si="4"/>
        <v>0.22</v>
      </c>
      <c r="G10" s="152">
        <f t="shared" si="4"/>
        <v>0.39</v>
      </c>
      <c r="H10" s="152">
        <f t="shared" si="4"/>
        <v>0.32</v>
      </c>
      <c r="I10" s="57" t="s">
        <v>27</v>
      </c>
      <c r="J10" s="153">
        <f t="shared" si="1"/>
        <v>1</v>
      </c>
    </row>
    <row r="11" spans="1:10" ht="15.5" x14ac:dyDescent="0.35">
      <c r="A11" s="130">
        <v>5</v>
      </c>
      <c r="B11" s="130" t="s">
        <v>51</v>
      </c>
      <c r="C11" s="57" t="s">
        <v>26</v>
      </c>
      <c r="D11" s="58">
        <v>1</v>
      </c>
      <c r="E11" s="58">
        <v>3</v>
      </c>
      <c r="F11" s="58">
        <v>12</v>
      </c>
      <c r="G11" s="58">
        <v>49</v>
      </c>
      <c r="H11" s="58">
        <v>35</v>
      </c>
      <c r="I11" s="57" t="s">
        <v>26</v>
      </c>
      <c r="J11" s="60">
        <f t="shared" si="1"/>
        <v>100</v>
      </c>
    </row>
    <row r="12" spans="1:10" ht="15.5" x14ac:dyDescent="0.35">
      <c r="A12" s="130"/>
      <c r="B12" s="130"/>
      <c r="C12" s="57" t="s">
        <v>27</v>
      </c>
      <c r="D12" s="152">
        <f>D11/$J$11</f>
        <v>0.01</v>
      </c>
      <c r="E12" s="152">
        <f t="shared" ref="E12:H12" si="5">E11/$J$11</f>
        <v>0.03</v>
      </c>
      <c r="F12" s="152">
        <f t="shared" si="5"/>
        <v>0.12</v>
      </c>
      <c r="G12" s="152">
        <f t="shared" si="5"/>
        <v>0.49</v>
      </c>
      <c r="H12" s="152">
        <f t="shared" si="5"/>
        <v>0.35</v>
      </c>
      <c r="I12" s="57" t="s">
        <v>27</v>
      </c>
      <c r="J12" s="153">
        <f t="shared" si="1"/>
        <v>1</v>
      </c>
    </row>
    <row r="13" spans="1:10" ht="15.5" x14ac:dyDescent="0.35">
      <c r="A13" s="130">
        <v>6</v>
      </c>
      <c r="B13" s="130" t="s">
        <v>52</v>
      </c>
      <c r="C13" s="57" t="s">
        <v>26</v>
      </c>
      <c r="D13" s="58">
        <v>2</v>
      </c>
      <c r="E13" s="58">
        <v>4</v>
      </c>
      <c r="F13" s="58">
        <v>17</v>
      </c>
      <c r="G13" s="58">
        <v>47</v>
      </c>
      <c r="H13" s="58">
        <v>30</v>
      </c>
      <c r="I13" s="57" t="s">
        <v>26</v>
      </c>
      <c r="J13" s="60">
        <f t="shared" si="1"/>
        <v>100</v>
      </c>
    </row>
    <row r="14" spans="1:10" ht="15.5" x14ac:dyDescent="0.35">
      <c r="A14" s="130"/>
      <c r="B14" s="130"/>
      <c r="C14" s="57" t="s">
        <v>27</v>
      </c>
      <c r="D14" s="152">
        <f>D13/$J$13</f>
        <v>0.02</v>
      </c>
      <c r="E14" s="152">
        <f t="shared" ref="E14:H14" si="6">E13/$J$13</f>
        <v>0.04</v>
      </c>
      <c r="F14" s="152">
        <f t="shared" si="6"/>
        <v>0.17</v>
      </c>
      <c r="G14" s="152">
        <f t="shared" si="6"/>
        <v>0.47</v>
      </c>
      <c r="H14" s="152">
        <f t="shared" si="6"/>
        <v>0.3</v>
      </c>
      <c r="I14" s="57" t="s">
        <v>27</v>
      </c>
      <c r="J14" s="153">
        <f t="shared" si="1"/>
        <v>1</v>
      </c>
    </row>
    <row r="15" spans="1:10" ht="15.5" x14ac:dyDescent="0.35">
      <c r="A15" s="130">
        <v>7</v>
      </c>
      <c r="B15" s="130" t="s">
        <v>53</v>
      </c>
      <c r="C15" s="57" t="s">
        <v>26</v>
      </c>
      <c r="D15" s="58">
        <v>1</v>
      </c>
      <c r="E15" s="58">
        <v>3</v>
      </c>
      <c r="F15" s="58">
        <v>18</v>
      </c>
      <c r="G15" s="58">
        <v>46</v>
      </c>
      <c r="H15" s="58">
        <v>32</v>
      </c>
      <c r="I15" s="57" t="s">
        <v>26</v>
      </c>
      <c r="J15" s="60">
        <f t="shared" si="1"/>
        <v>100</v>
      </c>
    </row>
    <row r="16" spans="1:10" ht="15.5" x14ac:dyDescent="0.35">
      <c r="A16" s="130"/>
      <c r="B16" s="130"/>
      <c r="C16" s="57" t="s">
        <v>27</v>
      </c>
      <c r="D16" s="152">
        <f>D15/$J$15</f>
        <v>0.01</v>
      </c>
      <c r="E16" s="152">
        <f t="shared" ref="E16:H16" si="7">E15/$J$15</f>
        <v>0.03</v>
      </c>
      <c r="F16" s="152">
        <f t="shared" si="7"/>
        <v>0.18</v>
      </c>
      <c r="G16" s="152">
        <f t="shared" si="7"/>
        <v>0.46</v>
      </c>
      <c r="H16" s="152">
        <f t="shared" si="7"/>
        <v>0.32</v>
      </c>
      <c r="I16" s="57" t="s">
        <v>27</v>
      </c>
      <c r="J16" s="153">
        <f t="shared" si="1"/>
        <v>1</v>
      </c>
    </row>
    <row r="17" spans="1:10" ht="15.5" x14ac:dyDescent="0.35">
      <c r="A17" s="130">
        <v>8</v>
      </c>
      <c r="B17" s="130" t="s">
        <v>54</v>
      </c>
      <c r="C17" s="57" t="s">
        <v>26</v>
      </c>
      <c r="D17" s="58">
        <v>2</v>
      </c>
      <c r="E17" s="58">
        <v>7</v>
      </c>
      <c r="F17" s="58">
        <v>10</v>
      </c>
      <c r="G17" s="58">
        <v>45</v>
      </c>
      <c r="H17" s="58">
        <v>36</v>
      </c>
      <c r="I17" s="57" t="s">
        <v>26</v>
      </c>
      <c r="J17" s="60">
        <f>SUM(D17:H17)</f>
        <v>100</v>
      </c>
    </row>
    <row r="18" spans="1:10" ht="15.5" x14ac:dyDescent="0.35">
      <c r="A18" s="130"/>
      <c r="B18" s="130"/>
      <c r="C18" s="57" t="s">
        <v>27</v>
      </c>
      <c r="D18" s="154">
        <f>D17/$J$17</f>
        <v>0.02</v>
      </c>
      <c r="E18" s="154">
        <f t="shared" ref="E18:H18" si="8">E17/$J$17</f>
        <v>7.0000000000000007E-2</v>
      </c>
      <c r="F18" s="154">
        <f t="shared" si="8"/>
        <v>0.1</v>
      </c>
      <c r="G18" s="154">
        <f t="shared" si="8"/>
        <v>0.45</v>
      </c>
      <c r="H18" s="154">
        <f t="shared" si="8"/>
        <v>0.36</v>
      </c>
      <c r="I18" s="57" t="s">
        <v>27</v>
      </c>
      <c r="J18" s="153">
        <f t="shared" si="1"/>
        <v>1</v>
      </c>
    </row>
    <row r="20" spans="1:10" x14ac:dyDescent="0.35">
      <c r="A20" s="155" t="s">
        <v>47</v>
      </c>
      <c r="B20" s="155"/>
      <c r="C20" s="155"/>
      <c r="D20" s="155"/>
      <c r="E20" s="155"/>
      <c r="F20" s="155"/>
      <c r="G20" s="23"/>
    </row>
    <row r="21" spans="1:10" ht="24" x14ac:dyDescent="0.35">
      <c r="A21" s="129" t="s">
        <v>39</v>
      </c>
      <c r="B21" s="129"/>
      <c r="C21" s="24" t="s">
        <v>0</v>
      </c>
      <c r="D21" s="25" t="s">
        <v>1</v>
      </c>
      <c r="E21" s="25" t="s">
        <v>40</v>
      </c>
      <c r="F21" s="26" t="s">
        <v>41</v>
      </c>
      <c r="G21" s="23"/>
    </row>
    <row r="22" spans="1:10" ht="34.5" x14ac:dyDescent="0.35">
      <c r="A22" s="126" t="s">
        <v>2</v>
      </c>
      <c r="B22" s="27" t="s">
        <v>42</v>
      </c>
      <c r="C22" s="28">
        <v>2</v>
      </c>
      <c r="D22" s="29">
        <v>2</v>
      </c>
      <c r="E22" s="29">
        <v>2</v>
      </c>
      <c r="F22" s="30">
        <v>2</v>
      </c>
      <c r="G22" s="23"/>
    </row>
    <row r="23" spans="1:10" ht="23" x14ac:dyDescent="0.35">
      <c r="A23" s="127"/>
      <c r="B23" s="31" t="s">
        <v>43</v>
      </c>
      <c r="C23" s="32">
        <v>2</v>
      </c>
      <c r="D23" s="33">
        <v>2</v>
      </c>
      <c r="E23" s="33">
        <v>2</v>
      </c>
      <c r="F23" s="34">
        <v>4</v>
      </c>
      <c r="G23" s="23"/>
    </row>
    <row r="24" spans="1:10" ht="23" x14ac:dyDescent="0.35">
      <c r="A24" s="127"/>
      <c r="B24" s="31" t="s">
        <v>44</v>
      </c>
      <c r="C24" s="32">
        <v>15</v>
      </c>
      <c r="D24" s="33">
        <v>15</v>
      </c>
      <c r="E24" s="33">
        <v>15</v>
      </c>
      <c r="F24" s="34">
        <v>19</v>
      </c>
      <c r="G24" s="23"/>
    </row>
    <row r="25" spans="1:10" x14ac:dyDescent="0.35">
      <c r="A25" s="127"/>
      <c r="B25" s="31" t="s">
        <v>45</v>
      </c>
      <c r="C25" s="32">
        <v>50</v>
      </c>
      <c r="D25" s="33">
        <v>50</v>
      </c>
      <c r="E25" s="33">
        <v>50</v>
      </c>
      <c r="F25" s="34">
        <v>69</v>
      </c>
      <c r="G25" s="23"/>
    </row>
    <row r="26" spans="1:10" ht="23" x14ac:dyDescent="0.35">
      <c r="A26" s="127"/>
      <c r="B26" s="31" t="s">
        <v>46</v>
      </c>
      <c r="C26" s="32">
        <v>31</v>
      </c>
      <c r="D26" s="33">
        <v>31</v>
      </c>
      <c r="E26" s="33">
        <v>31</v>
      </c>
      <c r="F26" s="34">
        <v>100</v>
      </c>
      <c r="G26" s="23"/>
    </row>
    <row r="27" spans="1:10" x14ac:dyDescent="0.35">
      <c r="A27" s="128"/>
      <c r="B27" s="35" t="s">
        <v>14</v>
      </c>
      <c r="C27" s="36">
        <v>100</v>
      </c>
      <c r="D27" s="37">
        <v>100</v>
      </c>
      <c r="E27" s="37">
        <v>100</v>
      </c>
      <c r="F27" s="38"/>
      <c r="G27" s="23"/>
    </row>
    <row r="29" spans="1:10" x14ac:dyDescent="0.35">
      <c r="A29" s="155" t="s">
        <v>48</v>
      </c>
      <c r="B29" s="155"/>
      <c r="C29" s="155"/>
      <c r="D29" s="155"/>
      <c r="E29" s="155"/>
      <c r="F29" s="155"/>
      <c r="G29" s="23"/>
    </row>
    <row r="30" spans="1:10" ht="24" x14ac:dyDescent="0.35">
      <c r="A30" s="129" t="s">
        <v>39</v>
      </c>
      <c r="B30" s="129"/>
      <c r="C30" s="24" t="s">
        <v>0</v>
      </c>
      <c r="D30" s="25" t="s">
        <v>1</v>
      </c>
      <c r="E30" s="25" t="s">
        <v>40</v>
      </c>
      <c r="F30" s="26" t="s">
        <v>41</v>
      </c>
      <c r="G30" s="23"/>
    </row>
    <row r="31" spans="1:10" ht="34.5" x14ac:dyDescent="0.35">
      <c r="A31" s="126" t="s">
        <v>2</v>
      </c>
      <c r="B31" s="27" t="s">
        <v>42</v>
      </c>
      <c r="C31" s="28">
        <v>2</v>
      </c>
      <c r="D31" s="29">
        <v>2</v>
      </c>
      <c r="E31" s="29">
        <v>2</v>
      </c>
      <c r="F31" s="30">
        <v>2</v>
      </c>
      <c r="G31" s="23"/>
    </row>
    <row r="32" spans="1:10" ht="23" x14ac:dyDescent="0.35">
      <c r="A32" s="127"/>
      <c r="B32" s="31" t="s">
        <v>43</v>
      </c>
      <c r="C32" s="32">
        <v>2</v>
      </c>
      <c r="D32" s="33">
        <v>2</v>
      </c>
      <c r="E32" s="33">
        <v>2</v>
      </c>
      <c r="F32" s="34">
        <v>4</v>
      </c>
      <c r="G32" s="23"/>
    </row>
    <row r="33" spans="1:7" ht="23" x14ac:dyDescent="0.35">
      <c r="A33" s="127"/>
      <c r="B33" s="31" t="s">
        <v>44</v>
      </c>
      <c r="C33" s="32">
        <v>12</v>
      </c>
      <c r="D33" s="33">
        <v>12</v>
      </c>
      <c r="E33" s="33">
        <v>12</v>
      </c>
      <c r="F33" s="34">
        <v>16</v>
      </c>
      <c r="G33" s="23"/>
    </row>
    <row r="34" spans="1:7" x14ac:dyDescent="0.35">
      <c r="A34" s="127"/>
      <c r="B34" s="31" t="s">
        <v>45</v>
      </c>
      <c r="C34" s="32">
        <v>43</v>
      </c>
      <c r="D34" s="33">
        <v>43</v>
      </c>
      <c r="E34" s="33">
        <v>43</v>
      </c>
      <c r="F34" s="34">
        <v>59</v>
      </c>
      <c r="G34" s="23"/>
    </row>
    <row r="35" spans="1:7" ht="23" x14ac:dyDescent="0.35">
      <c r="A35" s="127"/>
      <c r="B35" s="31" t="s">
        <v>46</v>
      </c>
      <c r="C35" s="32">
        <v>41</v>
      </c>
      <c r="D35" s="33">
        <v>41</v>
      </c>
      <c r="E35" s="33">
        <v>41</v>
      </c>
      <c r="F35" s="34">
        <v>100</v>
      </c>
      <c r="G35" s="23"/>
    </row>
    <row r="36" spans="1:7" x14ac:dyDescent="0.35">
      <c r="A36" s="128"/>
      <c r="B36" s="35" t="s">
        <v>14</v>
      </c>
      <c r="C36" s="36">
        <v>100</v>
      </c>
      <c r="D36" s="37">
        <v>100</v>
      </c>
      <c r="E36" s="37">
        <v>100</v>
      </c>
      <c r="F36" s="38"/>
      <c r="G36" s="23"/>
    </row>
    <row r="37" spans="1:7" x14ac:dyDescent="0.35">
      <c r="G37" s="39"/>
    </row>
    <row r="38" spans="1:7" x14ac:dyDescent="0.35">
      <c r="A38" s="155" t="s">
        <v>49</v>
      </c>
      <c r="B38" s="155"/>
      <c r="C38" s="155"/>
      <c r="D38" s="155"/>
      <c r="E38" s="155"/>
      <c r="F38" s="155"/>
      <c r="G38" s="23"/>
    </row>
    <row r="39" spans="1:7" ht="24" x14ac:dyDescent="0.35">
      <c r="A39" s="129" t="s">
        <v>39</v>
      </c>
      <c r="B39" s="129"/>
      <c r="C39" s="24" t="s">
        <v>0</v>
      </c>
      <c r="D39" s="25" t="s">
        <v>1</v>
      </c>
      <c r="E39" s="25" t="s">
        <v>40</v>
      </c>
      <c r="F39" s="26" t="s">
        <v>41</v>
      </c>
      <c r="G39" s="23"/>
    </row>
    <row r="40" spans="1:7" ht="34.5" x14ac:dyDescent="0.35">
      <c r="A40" s="126" t="s">
        <v>2</v>
      </c>
      <c r="B40" s="27" t="s">
        <v>42</v>
      </c>
      <c r="C40" s="28">
        <v>3</v>
      </c>
      <c r="D40" s="29">
        <v>3</v>
      </c>
      <c r="E40" s="29">
        <v>3</v>
      </c>
      <c r="F40" s="30">
        <v>3</v>
      </c>
      <c r="G40" s="23"/>
    </row>
    <row r="41" spans="1:7" ht="23" x14ac:dyDescent="0.35">
      <c r="A41" s="127"/>
      <c r="B41" s="31" t="s">
        <v>43</v>
      </c>
      <c r="C41" s="32">
        <v>8</v>
      </c>
      <c r="D41" s="33">
        <v>8</v>
      </c>
      <c r="E41" s="33">
        <v>8</v>
      </c>
      <c r="F41" s="34">
        <v>11</v>
      </c>
      <c r="G41" s="23"/>
    </row>
    <row r="42" spans="1:7" ht="23" x14ac:dyDescent="0.35">
      <c r="A42" s="127"/>
      <c r="B42" s="31" t="s">
        <v>44</v>
      </c>
      <c r="C42" s="32">
        <v>16</v>
      </c>
      <c r="D42" s="33">
        <v>16</v>
      </c>
      <c r="E42" s="33">
        <v>16</v>
      </c>
      <c r="F42" s="34">
        <v>27</v>
      </c>
      <c r="G42" s="23"/>
    </row>
    <row r="43" spans="1:7" x14ac:dyDescent="0.35">
      <c r="A43" s="127"/>
      <c r="B43" s="31" t="s">
        <v>45</v>
      </c>
      <c r="C43" s="32">
        <v>49</v>
      </c>
      <c r="D43" s="33">
        <v>49</v>
      </c>
      <c r="E43" s="33">
        <v>49</v>
      </c>
      <c r="F43" s="34">
        <v>76</v>
      </c>
      <c r="G43" s="23"/>
    </row>
    <row r="44" spans="1:7" ht="23" x14ac:dyDescent="0.35">
      <c r="A44" s="127"/>
      <c r="B44" s="31" t="s">
        <v>46</v>
      </c>
      <c r="C44" s="32">
        <v>24</v>
      </c>
      <c r="D44" s="33">
        <v>24</v>
      </c>
      <c r="E44" s="33">
        <v>24</v>
      </c>
      <c r="F44" s="34">
        <v>100</v>
      </c>
      <c r="G44" s="23"/>
    </row>
    <row r="45" spans="1:7" x14ac:dyDescent="0.35">
      <c r="A45" s="128"/>
      <c r="B45" s="35" t="s">
        <v>14</v>
      </c>
      <c r="C45" s="36">
        <v>100</v>
      </c>
      <c r="D45" s="37">
        <v>100</v>
      </c>
      <c r="E45" s="37">
        <v>100</v>
      </c>
      <c r="F45" s="38"/>
      <c r="G45" s="23"/>
    </row>
    <row r="46" spans="1:7" x14ac:dyDescent="0.35">
      <c r="G46" s="39"/>
    </row>
    <row r="47" spans="1:7" x14ac:dyDescent="0.35">
      <c r="A47" s="155" t="s">
        <v>50</v>
      </c>
      <c r="B47" s="155"/>
      <c r="C47" s="155"/>
      <c r="D47" s="155"/>
      <c r="E47" s="155"/>
      <c r="F47" s="155"/>
      <c r="G47" s="23"/>
    </row>
    <row r="48" spans="1:7" ht="24" x14ac:dyDescent="0.35">
      <c r="A48" s="129" t="s">
        <v>39</v>
      </c>
      <c r="B48" s="129"/>
      <c r="C48" s="24" t="s">
        <v>0</v>
      </c>
      <c r="D48" s="25" t="s">
        <v>1</v>
      </c>
      <c r="E48" s="25" t="s">
        <v>40</v>
      </c>
      <c r="F48" s="26" t="s">
        <v>41</v>
      </c>
      <c r="G48" s="23"/>
    </row>
    <row r="49" spans="1:7" ht="34.5" x14ac:dyDescent="0.35">
      <c r="A49" s="126" t="s">
        <v>2</v>
      </c>
      <c r="B49" s="27" t="s">
        <v>42</v>
      </c>
      <c r="C49" s="28">
        <v>1</v>
      </c>
      <c r="D49" s="29">
        <v>1</v>
      </c>
      <c r="E49" s="29">
        <v>1</v>
      </c>
      <c r="F49" s="30">
        <v>1</v>
      </c>
      <c r="G49" s="23"/>
    </row>
    <row r="50" spans="1:7" ht="23" x14ac:dyDescent="0.35">
      <c r="A50" s="127"/>
      <c r="B50" s="31" t="s">
        <v>43</v>
      </c>
      <c r="C50" s="32">
        <v>6</v>
      </c>
      <c r="D50" s="33">
        <v>6</v>
      </c>
      <c r="E50" s="33">
        <v>6</v>
      </c>
      <c r="F50" s="34">
        <v>7.0000000000000009</v>
      </c>
      <c r="G50" s="23"/>
    </row>
    <row r="51" spans="1:7" ht="23" x14ac:dyDescent="0.35">
      <c r="A51" s="127"/>
      <c r="B51" s="31" t="s">
        <v>44</v>
      </c>
      <c r="C51" s="32">
        <v>22</v>
      </c>
      <c r="D51" s="33">
        <v>22</v>
      </c>
      <c r="E51" s="33">
        <v>22</v>
      </c>
      <c r="F51" s="34">
        <v>28.999999999999996</v>
      </c>
      <c r="G51" s="23"/>
    </row>
    <row r="52" spans="1:7" x14ac:dyDescent="0.35">
      <c r="A52" s="127"/>
      <c r="B52" s="31" t="s">
        <v>45</v>
      </c>
      <c r="C52" s="32">
        <v>39</v>
      </c>
      <c r="D52" s="33">
        <v>39</v>
      </c>
      <c r="E52" s="33">
        <v>39</v>
      </c>
      <c r="F52" s="34">
        <v>68</v>
      </c>
      <c r="G52" s="23"/>
    </row>
    <row r="53" spans="1:7" ht="23" x14ac:dyDescent="0.35">
      <c r="A53" s="127"/>
      <c r="B53" s="31" t="s">
        <v>46</v>
      </c>
      <c r="C53" s="32">
        <v>32</v>
      </c>
      <c r="D53" s="33">
        <v>32</v>
      </c>
      <c r="E53" s="33">
        <v>32</v>
      </c>
      <c r="F53" s="34">
        <v>100</v>
      </c>
      <c r="G53" s="23"/>
    </row>
    <row r="54" spans="1:7" x14ac:dyDescent="0.35">
      <c r="A54" s="128"/>
      <c r="B54" s="35" t="s">
        <v>14</v>
      </c>
      <c r="C54" s="36">
        <v>100</v>
      </c>
      <c r="D54" s="37">
        <v>100</v>
      </c>
      <c r="E54" s="37">
        <v>100</v>
      </c>
      <c r="F54" s="38"/>
      <c r="G54" s="23"/>
    </row>
    <row r="55" spans="1:7" x14ac:dyDescent="0.35">
      <c r="G55" s="39"/>
    </row>
    <row r="56" spans="1:7" x14ac:dyDescent="0.35">
      <c r="A56" s="155" t="s">
        <v>51</v>
      </c>
      <c r="B56" s="155"/>
      <c r="C56" s="155"/>
      <c r="D56" s="155"/>
      <c r="E56" s="155"/>
      <c r="F56" s="155"/>
      <c r="G56" s="23"/>
    </row>
    <row r="57" spans="1:7" ht="24" x14ac:dyDescent="0.35">
      <c r="A57" s="129" t="s">
        <v>39</v>
      </c>
      <c r="B57" s="129"/>
      <c r="C57" s="24" t="s">
        <v>0</v>
      </c>
      <c r="D57" s="25" t="s">
        <v>1</v>
      </c>
      <c r="E57" s="25" t="s">
        <v>40</v>
      </c>
      <c r="F57" s="26" t="s">
        <v>41</v>
      </c>
      <c r="G57" s="23"/>
    </row>
    <row r="58" spans="1:7" ht="34.5" x14ac:dyDescent="0.35">
      <c r="A58" s="126" t="s">
        <v>2</v>
      </c>
      <c r="B58" s="27" t="s">
        <v>42</v>
      </c>
      <c r="C58" s="28">
        <v>1</v>
      </c>
      <c r="D58" s="29">
        <v>1</v>
      </c>
      <c r="E58" s="29">
        <v>1</v>
      </c>
      <c r="F58" s="30">
        <v>1</v>
      </c>
      <c r="G58" s="23"/>
    </row>
    <row r="59" spans="1:7" ht="23" x14ac:dyDescent="0.35">
      <c r="A59" s="127"/>
      <c r="B59" s="31" t="s">
        <v>43</v>
      </c>
      <c r="C59" s="32">
        <v>3</v>
      </c>
      <c r="D59" s="33">
        <v>3</v>
      </c>
      <c r="E59" s="33">
        <v>3</v>
      </c>
      <c r="F59" s="34">
        <v>4</v>
      </c>
      <c r="G59" s="23"/>
    </row>
    <row r="60" spans="1:7" ht="23" x14ac:dyDescent="0.35">
      <c r="A60" s="127"/>
      <c r="B60" s="31" t="s">
        <v>44</v>
      </c>
      <c r="C60" s="32">
        <v>12</v>
      </c>
      <c r="D60" s="33">
        <v>12</v>
      </c>
      <c r="E60" s="33">
        <v>12</v>
      </c>
      <c r="F60" s="34">
        <v>16</v>
      </c>
      <c r="G60" s="23"/>
    </row>
    <row r="61" spans="1:7" x14ac:dyDescent="0.35">
      <c r="A61" s="127"/>
      <c r="B61" s="31" t="s">
        <v>45</v>
      </c>
      <c r="C61" s="32">
        <v>49</v>
      </c>
      <c r="D61" s="33">
        <v>49</v>
      </c>
      <c r="E61" s="33">
        <v>49</v>
      </c>
      <c r="F61" s="34">
        <v>65</v>
      </c>
      <c r="G61" s="23"/>
    </row>
    <row r="62" spans="1:7" ht="23" x14ac:dyDescent="0.35">
      <c r="A62" s="127"/>
      <c r="B62" s="31" t="s">
        <v>46</v>
      </c>
      <c r="C62" s="32">
        <v>35</v>
      </c>
      <c r="D62" s="33">
        <v>35</v>
      </c>
      <c r="E62" s="33">
        <v>35</v>
      </c>
      <c r="F62" s="34">
        <v>100</v>
      </c>
      <c r="G62" s="23"/>
    </row>
    <row r="63" spans="1:7" x14ac:dyDescent="0.35">
      <c r="A63" s="128"/>
      <c r="B63" s="35" t="s">
        <v>14</v>
      </c>
      <c r="C63" s="36">
        <v>100</v>
      </c>
      <c r="D63" s="37">
        <v>100</v>
      </c>
      <c r="E63" s="37">
        <v>100</v>
      </c>
      <c r="F63" s="38"/>
      <c r="G63" s="23"/>
    </row>
    <row r="65" spans="1:7" x14ac:dyDescent="0.35">
      <c r="A65" s="155" t="s">
        <v>52</v>
      </c>
      <c r="B65" s="155"/>
      <c r="C65" s="155"/>
      <c r="D65" s="155"/>
      <c r="E65" s="155"/>
      <c r="F65" s="155"/>
      <c r="G65" s="23"/>
    </row>
    <row r="66" spans="1:7" ht="24" x14ac:dyDescent="0.35">
      <c r="A66" s="129" t="s">
        <v>39</v>
      </c>
      <c r="B66" s="129"/>
      <c r="C66" s="24" t="s">
        <v>0</v>
      </c>
      <c r="D66" s="25" t="s">
        <v>1</v>
      </c>
      <c r="E66" s="25" t="s">
        <v>40</v>
      </c>
      <c r="F66" s="26" t="s">
        <v>41</v>
      </c>
      <c r="G66" s="23"/>
    </row>
    <row r="67" spans="1:7" ht="34.5" x14ac:dyDescent="0.35">
      <c r="A67" s="126" t="s">
        <v>2</v>
      </c>
      <c r="B67" s="27" t="s">
        <v>42</v>
      </c>
      <c r="C67" s="28">
        <v>2</v>
      </c>
      <c r="D67" s="29">
        <v>2</v>
      </c>
      <c r="E67" s="29">
        <v>2</v>
      </c>
      <c r="F67" s="30">
        <v>2</v>
      </c>
      <c r="G67" s="23"/>
    </row>
    <row r="68" spans="1:7" ht="23" x14ac:dyDescent="0.35">
      <c r="A68" s="127"/>
      <c r="B68" s="31" t="s">
        <v>43</v>
      </c>
      <c r="C68" s="32">
        <v>4</v>
      </c>
      <c r="D68" s="33">
        <v>4</v>
      </c>
      <c r="E68" s="33">
        <v>4</v>
      </c>
      <c r="F68" s="34">
        <v>6</v>
      </c>
      <c r="G68" s="23"/>
    </row>
    <row r="69" spans="1:7" ht="23" x14ac:dyDescent="0.35">
      <c r="A69" s="127"/>
      <c r="B69" s="31" t="s">
        <v>44</v>
      </c>
      <c r="C69" s="32">
        <v>17</v>
      </c>
      <c r="D69" s="33">
        <v>17</v>
      </c>
      <c r="E69" s="33">
        <v>17</v>
      </c>
      <c r="F69" s="34">
        <v>23</v>
      </c>
      <c r="G69" s="23"/>
    </row>
    <row r="70" spans="1:7" x14ac:dyDescent="0.35">
      <c r="A70" s="127"/>
      <c r="B70" s="31" t="s">
        <v>45</v>
      </c>
      <c r="C70" s="32">
        <v>47</v>
      </c>
      <c r="D70" s="33">
        <v>47</v>
      </c>
      <c r="E70" s="33">
        <v>47</v>
      </c>
      <c r="F70" s="34">
        <v>70</v>
      </c>
      <c r="G70" s="23"/>
    </row>
    <row r="71" spans="1:7" ht="23" x14ac:dyDescent="0.35">
      <c r="A71" s="127"/>
      <c r="B71" s="31" t="s">
        <v>46</v>
      </c>
      <c r="C71" s="32">
        <v>30</v>
      </c>
      <c r="D71" s="33">
        <v>30</v>
      </c>
      <c r="E71" s="33">
        <v>30</v>
      </c>
      <c r="F71" s="34">
        <v>100</v>
      </c>
      <c r="G71" s="23"/>
    </row>
    <row r="72" spans="1:7" x14ac:dyDescent="0.35">
      <c r="A72" s="128"/>
      <c r="B72" s="35" t="s">
        <v>14</v>
      </c>
      <c r="C72" s="36">
        <v>100</v>
      </c>
      <c r="D72" s="37">
        <v>100</v>
      </c>
      <c r="E72" s="37">
        <v>100</v>
      </c>
      <c r="F72" s="38"/>
      <c r="G72" s="23"/>
    </row>
    <row r="74" spans="1:7" x14ac:dyDescent="0.35">
      <c r="A74" s="155" t="s">
        <v>53</v>
      </c>
      <c r="B74" s="155"/>
      <c r="C74" s="155"/>
      <c r="D74" s="155"/>
      <c r="E74" s="155"/>
      <c r="F74" s="155"/>
      <c r="G74" s="23"/>
    </row>
    <row r="75" spans="1:7" ht="24" x14ac:dyDescent="0.35">
      <c r="A75" s="129" t="s">
        <v>39</v>
      </c>
      <c r="B75" s="129"/>
      <c r="C75" s="24" t="s">
        <v>0</v>
      </c>
      <c r="D75" s="25" t="s">
        <v>1</v>
      </c>
      <c r="E75" s="25" t="s">
        <v>40</v>
      </c>
      <c r="F75" s="26" t="s">
        <v>41</v>
      </c>
      <c r="G75" s="23"/>
    </row>
    <row r="76" spans="1:7" ht="34.5" x14ac:dyDescent="0.35">
      <c r="A76" s="126" t="s">
        <v>2</v>
      </c>
      <c r="B76" s="27" t="s">
        <v>42</v>
      </c>
      <c r="C76" s="28">
        <v>1</v>
      </c>
      <c r="D76" s="29">
        <v>1</v>
      </c>
      <c r="E76" s="29">
        <v>1</v>
      </c>
      <c r="F76" s="30">
        <v>1</v>
      </c>
      <c r="G76" s="23"/>
    </row>
    <row r="77" spans="1:7" ht="23" x14ac:dyDescent="0.35">
      <c r="A77" s="127"/>
      <c r="B77" s="31" t="s">
        <v>43</v>
      </c>
      <c r="C77" s="32">
        <v>3</v>
      </c>
      <c r="D77" s="33">
        <v>3</v>
      </c>
      <c r="E77" s="33">
        <v>3</v>
      </c>
      <c r="F77" s="34">
        <v>4</v>
      </c>
      <c r="G77" s="23"/>
    </row>
    <row r="78" spans="1:7" ht="23" x14ac:dyDescent="0.35">
      <c r="A78" s="127"/>
      <c r="B78" s="31" t="s">
        <v>44</v>
      </c>
      <c r="C78" s="32">
        <v>18</v>
      </c>
      <c r="D78" s="33">
        <v>18</v>
      </c>
      <c r="E78" s="33">
        <v>18</v>
      </c>
      <c r="F78" s="34">
        <v>22</v>
      </c>
      <c r="G78" s="23"/>
    </row>
    <row r="79" spans="1:7" x14ac:dyDescent="0.35">
      <c r="A79" s="127"/>
      <c r="B79" s="31" t="s">
        <v>45</v>
      </c>
      <c r="C79" s="32">
        <v>46</v>
      </c>
      <c r="D79" s="33">
        <v>46</v>
      </c>
      <c r="E79" s="33">
        <v>46</v>
      </c>
      <c r="F79" s="34">
        <v>68</v>
      </c>
      <c r="G79" s="23"/>
    </row>
    <row r="80" spans="1:7" ht="23" x14ac:dyDescent="0.35">
      <c r="A80" s="127"/>
      <c r="B80" s="31" t="s">
        <v>46</v>
      </c>
      <c r="C80" s="32">
        <v>32</v>
      </c>
      <c r="D80" s="33">
        <v>32</v>
      </c>
      <c r="E80" s="33">
        <v>32</v>
      </c>
      <c r="F80" s="34">
        <v>100</v>
      </c>
      <c r="G80" s="23"/>
    </row>
    <row r="81" spans="1:7" x14ac:dyDescent="0.35">
      <c r="A81" s="128"/>
      <c r="B81" s="35" t="s">
        <v>14</v>
      </c>
      <c r="C81" s="36">
        <v>100</v>
      </c>
      <c r="D81" s="37">
        <v>100</v>
      </c>
      <c r="E81" s="37">
        <v>100</v>
      </c>
      <c r="F81" s="38"/>
      <c r="G81" s="23"/>
    </row>
    <row r="83" spans="1:7" x14ac:dyDescent="0.35">
      <c r="A83" s="155" t="s">
        <v>54</v>
      </c>
      <c r="B83" s="155"/>
      <c r="C83" s="155"/>
      <c r="D83" s="155"/>
      <c r="E83" s="155"/>
      <c r="F83" s="155"/>
      <c r="G83" s="23"/>
    </row>
    <row r="84" spans="1:7" ht="24" x14ac:dyDescent="0.35">
      <c r="A84" s="129" t="s">
        <v>39</v>
      </c>
      <c r="B84" s="129"/>
      <c r="C84" s="24" t="s">
        <v>0</v>
      </c>
      <c r="D84" s="25" t="s">
        <v>1</v>
      </c>
      <c r="E84" s="25" t="s">
        <v>40</v>
      </c>
      <c r="F84" s="26" t="s">
        <v>41</v>
      </c>
      <c r="G84" s="23"/>
    </row>
    <row r="85" spans="1:7" ht="34.5" x14ac:dyDescent="0.35">
      <c r="A85" s="126" t="s">
        <v>2</v>
      </c>
      <c r="B85" s="27" t="s">
        <v>42</v>
      </c>
      <c r="C85" s="28">
        <v>2</v>
      </c>
      <c r="D85" s="29">
        <v>2</v>
      </c>
      <c r="E85" s="29">
        <v>2</v>
      </c>
      <c r="F85" s="30">
        <v>2</v>
      </c>
      <c r="G85" s="23"/>
    </row>
    <row r="86" spans="1:7" ht="23" x14ac:dyDescent="0.35">
      <c r="A86" s="127"/>
      <c r="B86" s="31" t="s">
        <v>43</v>
      </c>
      <c r="C86" s="32">
        <v>7</v>
      </c>
      <c r="D86" s="33">
        <v>7.0000000000000009</v>
      </c>
      <c r="E86" s="33">
        <v>7.0000000000000009</v>
      </c>
      <c r="F86" s="34">
        <v>9</v>
      </c>
      <c r="G86" s="23"/>
    </row>
    <row r="87" spans="1:7" ht="23" x14ac:dyDescent="0.35">
      <c r="A87" s="127"/>
      <c r="B87" s="31" t="s">
        <v>44</v>
      </c>
      <c r="C87" s="32">
        <v>10</v>
      </c>
      <c r="D87" s="33">
        <v>10</v>
      </c>
      <c r="E87" s="33">
        <v>10</v>
      </c>
      <c r="F87" s="34">
        <v>19</v>
      </c>
      <c r="G87" s="23"/>
    </row>
    <row r="88" spans="1:7" x14ac:dyDescent="0.35">
      <c r="A88" s="127"/>
      <c r="B88" s="31" t="s">
        <v>45</v>
      </c>
      <c r="C88" s="32">
        <v>45</v>
      </c>
      <c r="D88" s="33">
        <v>45</v>
      </c>
      <c r="E88" s="33">
        <v>45</v>
      </c>
      <c r="F88" s="34">
        <v>64</v>
      </c>
      <c r="G88" s="23"/>
    </row>
    <row r="89" spans="1:7" ht="23" x14ac:dyDescent="0.35">
      <c r="A89" s="127"/>
      <c r="B89" s="31" t="s">
        <v>46</v>
      </c>
      <c r="C89" s="32">
        <v>36</v>
      </c>
      <c r="D89" s="33">
        <v>36</v>
      </c>
      <c r="E89" s="33">
        <v>36</v>
      </c>
      <c r="F89" s="34">
        <v>100</v>
      </c>
      <c r="G89" s="23"/>
    </row>
    <row r="90" spans="1:7" x14ac:dyDescent="0.35">
      <c r="A90" s="128"/>
      <c r="B90" s="35" t="s">
        <v>14</v>
      </c>
      <c r="C90" s="36">
        <v>100</v>
      </c>
      <c r="D90" s="37">
        <v>100</v>
      </c>
      <c r="E90" s="37">
        <v>100</v>
      </c>
      <c r="F90" s="38"/>
      <c r="G90" s="23"/>
    </row>
  </sheetData>
  <mergeCells count="45">
    <mergeCell ref="A83:F83"/>
    <mergeCell ref="A84:B84"/>
    <mergeCell ref="A85:A90"/>
    <mergeCell ref="A66:B66"/>
    <mergeCell ref="A67:A72"/>
    <mergeCell ref="A74:F74"/>
    <mergeCell ref="A75:B75"/>
    <mergeCell ref="A76:A81"/>
    <mergeCell ref="A49:A54"/>
    <mergeCell ref="A56:F56"/>
    <mergeCell ref="A57:B57"/>
    <mergeCell ref="A58:A63"/>
    <mergeCell ref="A65:F65"/>
    <mergeCell ref="A3:A4"/>
    <mergeCell ref="B3:B4"/>
    <mergeCell ref="A20:F20"/>
    <mergeCell ref="A21:B21"/>
    <mergeCell ref="A22:A27"/>
    <mergeCell ref="A1:A2"/>
    <mergeCell ref="B1:C1"/>
    <mergeCell ref="B2:C2"/>
    <mergeCell ref="D1:H1"/>
    <mergeCell ref="I1:J2"/>
    <mergeCell ref="A5:A6"/>
    <mergeCell ref="B5:B6"/>
    <mergeCell ref="A7:A8"/>
    <mergeCell ref="B7:B8"/>
    <mergeCell ref="A9:A10"/>
    <mergeCell ref="B9:B10"/>
    <mergeCell ref="A17:A18"/>
    <mergeCell ref="B17:B18"/>
    <mergeCell ref="A11:A12"/>
    <mergeCell ref="B11:B12"/>
    <mergeCell ref="A13:A14"/>
    <mergeCell ref="B13:B14"/>
    <mergeCell ref="A15:A16"/>
    <mergeCell ref="B15:B16"/>
    <mergeCell ref="A29:F29"/>
    <mergeCell ref="A30:B30"/>
    <mergeCell ref="A31:A36"/>
    <mergeCell ref="A38:F38"/>
    <mergeCell ref="A39:B39"/>
    <mergeCell ref="A40:A45"/>
    <mergeCell ref="A47:F47"/>
    <mergeCell ref="A48:B48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DAAC-2A83-484A-8834-86EA6846F0C6}">
  <dimension ref="A1:J84"/>
  <sheetViews>
    <sheetView workbookViewId="0">
      <selection activeCell="G12" sqref="G12"/>
    </sheetView>
  </sheetViews>
  <sheetFormatPr defaultRowHeight="14.5" x14ac:dyDescent="0.35"/>
  <sheetData>
    <row r="1" spans="1:10" ht="15.5" x14ac:dyDescent="0.35">
      <c r="A1" s="125" t="s">
        <v>18</v>
      </c>
      <c r="B1" s="125" t="s">
        <v>28</v>
      </c>
      <c r="C1" s="125"/>
      <c r="D1" s="125" t="s">
        <v>29</v>
      </c>
      <c r="E1" s="125"/>
      <c r="F1" s="125"/>
      <c r="G1" s="125"/>
      <c r="H1" s="125"/>
      <c r="I1" s="125" t="s">
        <v>14</v>
      </c>
      <c r="J1" s="125"/>
    </row>
    <row r="2" spans="1:10" ht="15.5" x14ac:dyDescent="0.35">
      <c r="A2" s="125"/>
      <c r="B2" s="125"/>
      <c r="C2" s="125"/>
      <c r="D2" s="55" t="s">
        <v>25</v>
      </c>
      <c r="E2" s="55" t="s">
        <v>24</v>
      </c>
      <c r="F2" s="55" t="s">
        <v>38</v>
      </c>
      <c r="G2" s="55" t="s">
        <v>23</v>
      </c>
      <c r="H2" s="55" t="s">
        <v>22</v>
      </c>
      <c r="I2" s="125"/>
      <c r="J2" s="125"/>
    </row>
    <row r="3" spans="1:10" ht="15.5" x14ac:dyDescent="0.35">
      <c r="A3" s="125">
        <v>1</v>
      </c>
      <c r="B3" s="125" t="s">
        <v>55</v>
      </c>
      <c r="C3" s="55" t="s">
        <v>26</v>
      </c>
      <c r="D3" s="59">
        <v>2</v>
      </c>
      <c r="E3" s="59">
        <v>5</v>
      </c>
      <c r="F3" s="59">
        <v>11</v>
      </c>
      <c r="G3" s="59">
        <v>39</v>
      </c>
      <c r="H3" s="59">
        <v>43</v>
      </c>
      <c r="I3" s="55" t="s">
        <v>26</v>
      </c>
      <c r="J3" s="60">
        <f>SUM(D3:H3)</f>
        <v>100</v>
      </c>
    </row>
    <row r="4" spans="1:10" ht="15.5" x14ac:dyDescent="0.35">
      <c r="A4" s="125"/>
      <c r="B4" s="125"/>
      <c r="C4" s="55" t="s">
        <v>27</v>
      </c>
      <c r="D4" s="152">
        <f>D3/$J$3</f>
        <v>0.02</v>
      </c>
      <c r="E4" s="152">
        <f t="shared" ref="E4:H4" si="0">E3/$J$3</f>
        <v>0.05</v>
      </c>
      <c r="F4" s="152">
        <f t="shared" si="0"/>
        <v>0.11</v>
      </c>
      <c r="G4" s="152">
        <f t="shared" si="0"/>
        <v>0.39</v>
      </c>
      <c r="H4" s="152">
        <f t="shared" si="0"/>
        <v>0.43</v>
      </c>
      <c r="I4" s="55" t="s">
        <v>27</v>
      </c>
      <c r="J4" s="153">
        <f t="shared" ref="J4:J12" si="1">SUM(D4:H4)</f>
        <v>1</v>
      </c>
    </row>
    <row r="5" spans="1:10" ht="15.5" x14ac:dyDescent="0.35">
      <c r="A5" s="125">
        <v>2</v>
      </c>
      <c r="B5" s="125" t="s">
        <v>56</v>
      </c>
      <c r="C5" s="55" t="s">
        <v>26</v>
      </c>
      <c r="D5" s="55">
        <v>0</v>
      </c>
      <c r="E5" s="59">
        <v>3</v>
      </c>
      <c r="F5" s="59">
        <v>7</v>
      </c>
      <c r="G5" s="59">
        <v>48</v>
      </c>
      <c r="H5" s="59">
        <v>42</v>
      </c>
      <c r="I5" s="55" t="s">
        <v>26</v>
      </c>
      <c r="J5" s="60">
        <f t="shared" si="1"/>
        <v>100</v>
      </c>
    </row>
    <row r="6" spans="1:10" ht="15.5" x14ac:dyDescent="0.35">
      <c r="A6" s="125"/>
      <c r="B6" s="125"/>
      <c r="C6" s="55" t="s">
        <v>27</v>
      </c>
      <c r="D6" s="152">
        <f>D5/$J$5</f>
        <v>0</v>
      </c>
      <c r="E6" s="152">
        <f t="shared" ref="E6:H6" si="2">E5/$J$5</f>
        <v>0.03</v>
      </c>
      <c r="F6" s="152">
        <f t="shared" si="2"/>
        <v>7.0000000000000007E-2</v>
      </c>
      <c r="G6" s="152">
        <f t="shared" si="2"/>
        <v>0.48</v>
      </c>
      <c r="H6" s="152">
        <f t="shared" si="2"/>
        <v>0.42</v>
      </c>
      <c r="I6" s="55" t="s">
        <v>27</v>
      </c>
      <c r="J6" s="153">
        <f t="shared" si="1"/>
        <v>1</v>
      </c>
    </row>
    <row r="7" spans="1:10" ht="15.5" x14ac:dyDescent="0.35">
      <c r="A7" s="125">
        <v>3</v>
      </c>
      <c r="B7" s="125" t="s">
        <v>57</v>
      </c>
      <c r="C7" s="55" t="s">
        <v>26</v>
      </c>
      <c r="D7" s="59">
        <v>1</v>
      </c>
      <c r="E7" s="59">
        <v>1</v>
      </c>
      <c r="F7" s="59">
        <v>19</v>
      </c>
      <c r="G7" s="59">
        <v>54</v>
      </c>
      <c r="H7" s="59">
        <v>25</v>
      </c>
      <c r="I7" s="55" t="s">
        <v>26</v>
      </c>
      <c r="J7" s="60">
        <f t="shared" si="1"/>
        <v>100</v>
      </c>
    </row>
    <row r="8" spans="1:10" ht="15.5" x14ac:dyDescent="0.35">
      <c r="A8" s="125"/>
      <c r="B8" s="125"/>
      <c r="C8" s="55" t="s">
        <v>27</v>
      </c>
      <c r="D8" s="152">
        <f>D7/$J$7</f>
        <v>0.01</v>
      </c>
      <c r="E8" s="152">
        <f t="shared" ref="E8:H8" si="3">E7/$J$7</f>
        <v>0.01</v>
      </c>
      <c r="F8" s="152">
        <f t="shared" si="3"/>
        <v>0.19</v>
      </c>
      <c r="G8" s="152">
        <f t="shared" si="3"/>
        <v>0.54</v>
      </c>
      <c r="H8" s="152">
        <f t="shared" si="3"/>
        <v>0.25</v>
      </c>
      <c r="I8" s="55" t="s">
        <v>27</v>
      </c>
      <c r="J8" s="153">
        <f t="shared" si="1"/>
        <v>1</v>
      </c>
    </row>
    <row r="9" spans="1:10" ht="15.5" x14ac:dyDescent="0.35">
      <c r="A9" s="125">
        <v>4</v>
      </c>
      <c r="B9" s="125" t="s">
        <v>58</v>
      </c>
      <c r="C9" s="55" t="s">
        <v>26</v>
      </c>
      <c r="D9" s="59">
        <v>2</v>
      </c>
      <c r="E9" s="59">
        <v>5</v>
      </c>
      <c r="F9" s="59">
        <v>12</v>
      </c>
      <c r="G9" s="59">
        <v>50</v>
      </c>
      <c r="H9" s="59">
        <v>31</v>
      </c>
      <c r="I9" s="55" t="s">
        <v>26</v>
      </c>
      <c r="J9" s="60">
        <f t="shared" si="1"/>
        <v>100</v>
      </c>
    </row>
    <row r="10" spans="1:10" ht="15.5" x14ac:dyDescent="0.35">
      <c r="A10" s="125"/>
      <c r="B10" s="125"/>
      <c r="C10" s="55" t="s">
        <v>27</v>
      </c>
      <c r="D10" s="152">
        <f>D9/$J$9</f>
        <v>0.02</v>
      </c>
      <c r="E10" s="152">
        <f t="shared" ref="E10:H10" si="4">E9/$J$9</f>
        <v>0.05</v>
      </c>
      <c r="F10" s="152">
        <f t="shared" si="4"/>
        <v>0.12</v>
      </c>
      <c r="G10" s="152">
        <f t="shared" si="4"/>
        <v>0.5</v>
      </c>
      <c r="H10" s="152">
        <f t="shared" si="4"/>
        <v>0.31</v>
      </c>
      <c r="I10" s="55" t="s">
        <v>27</v>
      </c>
      <c r="J10" s="153">
        <f t="shared" si="1"/>
        <v>1</v>
      </c>
    </row>
    <row r="11" spans="1:10" ht="15.5" x14ac:dyDescent="0.35">
      <c r="A11" s="125">
        <v>5</v>
      </c>
      <c r="B11" s="125" t="s">
        <v>59</v>
      </c>
      <c r="C11" s="55" t="s">
        <v>26</v>
      </c>
      <c r="D11" s="59">
        <v>2</v>
      </c>
      <c r="E11" s="59">
        <v>4</v>
      </c>
      <c r="F11" s="59">
        <v>13</v>
      </c>
      <c r="G11" s="59">
        <v>52</v>
      </c>
      <c r="H11" s="59">
        <v>29</v>
      </c>
      <c r="I11" s="55" t="s">
        <v>26</v>
      </c>
      <c r="J11" s="60">
        <f t="shared" si="1"/>
        <v>100</v>
      </c>
    </row>
    <row r="12" spans="1:10" ht="15.5" x14ac:dyDescent="0.35">
      <c r="A12" s="125"/>
      <c r="B12" s="125"/>
      <c r="C12" s="55" t="s">
        <v>27</v>
      </c>
      <c r="D12" s="152">
        <f>D11/$J$11</f>
        <v>0.02</v>
      </c>
      <c r="E12" s="152">
        <f t="shared" ref="E12:H12" si="5">E11/$J$11</f>
        <v>0.04</v>
      </c>
      <c r="F12" s="152">
        <f t="shared" si="5"/>
        <v>0.13</v>
      </c>
      <c r="G12" s="152">
        <f t="shared" si="5"/>
        <v>0.52</v>
      </c>
      <c r="H12" s="152">
        <f t="shared" si="5"/>
        <v>0.28999999999999998</v>
      </c>
      <c r="I12" s="55" t="s">
        <v>27</v>
      </c>
      <c r="J12" s="153">
        <f t="shared" si="1"/>
        <v>1</v>
      </c>
    </row>
    <row r="14" spans="1:10" x14ac:dyDescent="0.35">
      <c r="A14" s="156" t="s">
        <v>55</v>
      </c>
      <c r="B14" s="156"/>
      <c r="C14" s="156"/>
      <c r="D14" s="156"/>
      <c r="E14" s="156"/>
      <c r="F14" s="156"/>
      <c r="G14" s="39"/>
    </row>
    <row r="15" spans="1:10" ht="24" x14ac:dyDescent="0.35">
      <c r="A15" s="131" t="s">
        <v>39</v>
      </c>
      <c r="B15" s="131"/>
      <c r="C15" s="40" t="s">
        <v>0</v>
      </c>
      <c r="D15" s="41" t="s">
        <v>1</v>
      </c>
      <c r="E15" s="41" t="s">
        <v>40</v>
      </c>
      <c r="F15" s="42" t="s">
        <v>41</v>
      </c>
      <c r="G15" s="39"/>
    </row>
    <row r="16" spans="1:10" ht="34.5" x14ac:dyDescent="0.35">
      <c r="A16" s="132" t="s">
        <v>2</v>
      </c>
      <c r="B16" s="43" t="s">
        <v>42</v>
      </c>
      <c r="C16" s="44">
        <v>2</v>
      </c>
      <c r="D16" s="45">
        <v>2</v>
      </c>
      <c r="E16" s="45">
        <v>2</v>
      </c>
      <c r="F16" s="46">
        <v>2</v>
      </c>
      <c r="G16" s="39"/>
    </row>
    <row r="17" spans="1:7" ht="23" x14ac:dyDescent="0.35">
      <c r="A17" s="133"/>
      <c r="B17" s="47" t="s">
        <v>43</v>
      </c>
      <c r="C17" s="48">
        <v>5</v>
      </c>
      <c r="D17" s="49">
        <v>5</v>
      </c>
      <c r="E17" s="49">
        <v>5</v>
      </c>
      <c r="F17" s="50">
        <v>7.0000000000000009</v>
      </c>
      <c r="G17" s="39"/>
    </row>
    <row r="18" spans="1:7" ht="23" x14ac:dyDescent="0.35">
      <c r="A18" s="133"/>
      <c r="B18" s="47" t="s">
        <v>44</v>
      </c>
      <c r="C18" s="48">
        <v>11</v>
      </c>
      <c r="D18" s="49">
        <v>11</v>
      </c>
      <c r="E18" s="49">
        <v>11</v>
      </c>
      <c r="F18" s="50">
        <v>18</v>
      </c>
      <c r="G18" s="39"/>
    </row>
    <row r="19" spans="1:7" x14ac:dyDescent="0.35">
      <c r="A19" s="133"/>
      <c r="B19" s="47" t="s">
        <v>45</v>
      </c>
      <c r="C19" s="48">
        <v>39</v>
      </c>
      <c r="D19" s="49">
        <v>39</v>
      </c>
      <c r="E19" s="49">
        <v>39</v>
      </c>
      <c r="F19" s="50">
        <v>56.999999999999993</v>
      </c>
      <c r="G19" s="39"/>
    </row>
    <row r="20" spans="1:7" ht="23" x14ac:dyDescent="0.35">
      <c r="A20" s="133"/>
      <c r="B20" s="47" t="s">
        <v>46</v>
      </c>
      <c r="C20" s="48">
        <v>43</v>
      </c>
      <c r="D20" s="49">
        <v>43</v>
      </c>
      <c r="E20" s="49">
        <v>43</v>
      </c>
      <c r="F20" s="50">
        <v>100</v>
      </c>
      <c r="G20" s="39"/>
    </row>
    <row r="21" spans="1:7" x14ac:dyDescent="0.35">
      <c r="A21" s="134"/>
      <c r="B21" s="51" t="s">
        <v>14</v>
      </c>
      <c r="C21" s="52">
        <v>100</v>
      </c>
      <c r="D21" s="53">
        <v>100</v>
      </c>
      <c r="E21" s="53">
        <v>100</v>
      </c>
      <c r="F21" s="54"/>
      <c r="G21" s="39"/>
    </row>
    <row r="23" spans="1:7" x14ac:dyDescent="0.35">
      <c r="A23" s="156" t="s">
        <v>56</v>
      </c>
      <c r="B23" s="156"/>
      <c r="C23" s="156"/>
      <c r="D23" s="156"/>
      <c r="E23" s="156"/>
      <c r="F23" s="156"/>
      <c r="G23" s="39"/>
    </row>
    <row r="24" spans="1:7" ht="24" x14ac:dyDescent="0.35">
      <c r="A24" s="131" t="s">
        <v>39</v>
      </c>
      <c r="B24" s="131"/>
      <c r="C24" s="40" t="s">
        <v>0</v>
      </c>
      <c r="D24" s="41" t="s">
        <v>1</v>
      </c>
      <c r="E24" s="41" t="s">
        <v>40</v>
      </c>
      <c r="F24" s="42" t="s">
        <v>41</v>
      </c>
      <c r="G24" s="39"/>
    </row>
    <row r="25" spans="1:7" ht="23" x14ac:dyDescent="0.35">
      <c r="A25" s="132" t="s">
        <v>2</v>
      </c>
      <c r="B25" s="43" t="s">
        <v>43</v>
      </c>
      <c r="C25" s="44">
        <v>3</v>
      </c>
      <c r="D25" s="45">
        <v>3</v>
      </c>
      <c r="E25" s="45">
        <v>3</v>
      </c>
      <c r="F25" s="46">
        <v>3</v>
      </c>
      <c r="G25" s="39"/>
    </row>
    <row r="26" spans="1:7" ht="23" x14ac:dyDescent="0.35">
      <c r="A26" s="133"/>
      <c r="B26" s="47" t="s">
        <v>44</v>
      </c>
      <c r="C26" s="48">
        <v>7</v>
      </c>
      <c r="D26" s="49">
        <v>7.0000000000000009</v>
      </c>
      <c r="E26" s="49">
        <v>7.0000000000000009</v>
      </c>
      <c r="F26" s="50">
        <v>10</v>
      </c>
      <c r="G26" s="39"/>
    </row>
    <row r="27" spans="1:7" x14ac:dyDescent="0.35">
      <c r="A27" s="133"/>
      <c r="B27" s="47" t="s">
        <v>45</v>
      </c>
      <c r="C27" s="48">
        <v>48</v>
      </c>
      <c r="D27" s="49">
        <v>48</v>
      </c>
      <c r="E27" s="49">
        <v>48</v>
      </c>
      <c r="F27" s="50">
        <v>57.999999999999993</v>
      </c>
      <c r="G27" s="39"/>
    </row>
    <row r="28" spans="1:7" ht="23" x14ac:dyDescent="0.35">
      <c r="A28" s="133"/>
      <c r="B28" s="47" t="s">
        <v>46</v>
      </c>
      <c r="C28" s="48">
        <v>42</v>
      </c>
      <c r="D28" s="49">
        <v>42</v>
      </c>
      <c r="E28" s="49">
        <v>42</v>
      </c>
      <c r="F28" s="50">
        <v>100</v>
      </c>
      <c r="G28" s="39"/>
    </row>
    <row r="29" spans="1:7" x14ac:dyDescent="0.35">
      <c r="A29" s="134"/>
      <c r="B29" s="51" t="s">
        <v>14</v>
      </c>
      <c r="C29" s="52">
        <v>100</v>
      </c>
      <c r="D29" s="53">
        <v>100</v>
      </c>
      <c r="E29" s="53">
        <v>100</v>
      </c>
      <c r="F29" s="54"/>
      <c r="G29" s="39"/>
    </row>
    <row r="31" spans="1:7" x14ac:dyDescent="0.35">
      <c r="A31" s="156" t="s">
        <v>57</v>
      </c>
      <c r="B31" s="156"/>
      <c r="C31" s="156"/>
      <c r="D31" s="156"/>
      <c r="E31" s="156"/>
      <c r="F31" s="156"/>
      <c r="G31" s="39"/>
    </row>
    <row r="32" spans="1:7" ht="24" x14ac:dyDescent="0.35">
      <c r="A32" s="131" t="s">
        <v>39</v>
      </c>
      <c r="B32" s="131"/>
      <c r="C32" s="40" t="s">
        <v>0</v>
      </c>
      <c r="D32" s="41" t="s">
        <v>1</v>
      </c>
      <c r="E32" s="41" t="s">
        <v>40</v>
      </c>
      <c r="F32" s="42" t="s">
        <v>41</v>
      </c>
      <c r="G32" s="39"/>
    </row>
    <row r="33" spans="1:7" ht="34.5" x14ac:dyDescent="0.35">
      <c r="A33" s="132" t="s">
        <v>2</v>
      </c>
      <c r="B33" s="43" t="s">
        <v>42</v>
      </c>
      <c r="C33" s="44">
        <v>1</v>
      </c>
      <c r="D33" s="45">
        <v>1</v>
      </c>
      <c r="E33" s="45">
        <v>1</v>
      </c>
      <c r="F33" s="46">
        <v>1</v>
      </c>
      <c r="G33" s="39"/>
    </row>
    <row r="34" spans="1:7" ht="23" x14ac:dyDescent="0.35">
      <c r="A34" s="133"/>
      <c r="B34" s="47" t="s">
        <v>43</v>
      </c>
      <c r="C34" s="48">
        <v>1</v>
      </c>
      <c r="D34" s="49">
        <v>1</v>
      </c>
      <c r="E34" s="49">
        <v>1</v>
      </c>
      <c r="F34" s="50">
        <v>2</v>
      </c>
      <c r="G34" s="39"/>
    </row>
    <row r="35" spans="1:7" ht="23" x14ac:dyDescent="0.35">
      <c r="A35" s="133"/>
      <c r="B35" s="47" t="s">
        <v>44</v>
      </c>
      <c r="C35" s="48">
        <v>19</v>
      </c>
      <c r="D35" s="49">
        <v>19</v>
      </c>
      <c r="E35" s="49">
        <v>19</v>
      </c>
      <c r="F35" s="50">
        <v>21</v>
      </c>
      <c r="G35" s="39"/>
    </row>
    <row r="36" spans="1:7" x14ac:dyDescent="0.35">
      <c r="A36" s="133"/>
      <c r="B36" s="47" t="s">
        <v>45</v>
      </c>
      <c r="C36" s="48">
        <v>54</v>
      </c>
      <c r="D36" s="49">
        <v>54</v>
      </c>
      <c r="E36" s="49">
        <v>54</v>
      </c>
      <c r="F36" s="50">
        <v>75</v>
      </c>
      <c r="G36" s="39"/>
    </row>
    <row r="37" spans="1:7" ht="23" x14ac:dyDescent="0.35">
      <c r="A37" s="133"/>
      <c r="B37" s="47" t="s">
        <v>46</v>
      </c>
      <c r="C37" s="48">
        <v>25</v>
      </c>
      <c r="D37" s="49">
        <v>25</v>
      </c>
      <c r="E37" s="49">
        <v>25</v>
      </c>
      <c r="F37" s="50">
        <v>100</v>
      </c>
      <c r="G37" s="39"/>
    </row>
    <row r="38" spans="1:7" x14ac:dyDescent="0.35">
      <c r="A38" s="134"/>
      <c r="B38" s="51" t="s">
        <v>14</v>
      </c>
      <c r="C38" s="52">
        <v>100</v>
      </c>
      <c r="D38" s="53">
        <v>100</v>
      </c>
      <c r="E38" s="53">
        <v>100</v>
      </c>
      <c r="F38" s="54"/>
      <c r="G38" s="39"/>
    </row>
    <row r="40" spans="1:7" x14ac:dyDescent="0.35">
      <c r="A40" s="156" t="s">
        <v>58</v>
      </c>
      <c r="B40" s="156"/>
      <c r="C40" s="156"/>
      <c r="D40" s="156"/>
      <c r="E40" s="156"/>
      <c r="F40" s="156"/>
      <c r="G40" s="39"/>
    </row>
    <row r="41" spans="1:7" ht="24" x14ac:dyDescent="0.35">
      <c r="A41" s="131" t="s">
        <v>39</v>
      </c>
      <c r="B41" s="131"/>
      <c r="C41" s="40" t="s">
        <v>0</v>
      </c>
      <c r="D41" s="41" t="s">
        <v>1</v>
      </c>
      <c r="E41" s="41" t="s">
        <v>40</v>
      </c>
      <c r="F41" s="42" t="s">
        <v>41</v>
      </c>
      <c r="G41" s="39"/>
    </row>
    <row r="42" spans="1:7" ht="34.5" x14ac:dyDescent="0.35">
      <c r="A42" s="132" t="s">
        <v>2</v>
      </c>
      <c r="B42" s="43" t="s">
        <v>42</v>
      </c>
      <c r="C42" s="44">
        <v>2</v>
      </c>
      <c r="D42" s="45">
        <v>2</v>
      </c>
      <c r="E42" s="45">
        <v>2</v>
      </c>
      <c r="F42" s="46">
        <v>2</v>
      </c>
      <c r="G42" s="39"/>
    </row>
    <row r="43" spans="1:7" ht="23" x14ac:dyDescent="0.35">
      <c r="A43" s="133"/>
      <c r="B43" s="47" t="s">
        <v>43</v>
      </c>
      <c r="C43" s="48">
        <v>5</v>
      </c>
      <c r="D43" s="49">
        <v>5</v>
      </c>
      <c r="E43" s="49">
        <v>5</v>
      </c>
      <c r="F43" s="50">
        <v>7.0000000000000009</v>
      </c>
      <c r="G43" s="39"/>
    </row>
    <row r="44" spans="1:7" ht="23" x14ac:dyDescent="0.35">
      <c r="A44" s="133"/>
      <c r="B44" s="47" t="s">
        <v>44</v>
      </c>
      <c r="C44" s="48">
        <v>12</v>
      </c>
      <c r="D44" s="49">
        <v>12</v>
      </c>
      <c r="E44" s="49">
        <v>12</v>
      </c>
      <c r="F44" s="50">
        <v>19</v>
      </c>
      <c r="G44" s="39"/>
    </row>
    <row r="45" spans="1:7" x14ac:dyDescent="0.35">
      <c r="A45" s="133"/>
      <c r="B45" s="47" t="s">
        <v>45</v>
      </c>
      <c r="C45" s="48">
        <v>50</v>
      </c>
      <c r="D45" s="49">
        <v>50</v>
      </c>
      <c r="E45" s="49">
        <v>50</v>
      </c>
      <c r="F45" s="50">
        <v>69</v>
      </c>
      <c r="G45" s="39"/>
    </row>
    <row r="46" spans="1:7" ht="23" x14ac:dyDescent="0.35">
      <c r="A46" s="133"/>
      <c r="B46" s="47" t="s">
        <v>46</v>
      </c>
      <c r="C46" s="48">
        <v>31</v>
      </c>
      <c r="D46" s="49">
        <v>31</v>
      </c>
      <c r="E46" s="49">
        <v>31</v>
      </c>
      <c r="F46" s="50">
        <v>100</v>
      </c>
      <c r="G46" s="39"/>
    </row>
    <row r="47" spans="1:7" x14ac:dyDescent="0.35">
      <c r="A47" s="134"/>
      <c r="B47" s="51" t="s">
        <v>14</v>
      </c>
      <c r="C47" s="52">
        <v>100</v>
      </c>
      <c r="D47" s="53">
        <v>100</v>
      </c>
      <c r="E47" s="53">
        <v>100</v>
      </c>
      <c r="F47" s="54"/>
      <c r="G47" s="39"/>
    </row>
    <row r="49" spans="1:7" x14ac:dyDescent="0.35">
      <c r="A49" s="156" t="s">
        <v>59</v>
      </c>
      <c r="B49" s="156"/>
      <c r="C49" s="156"/>
      <c r="D49" s="156"/>
      <c r="E49" s="156"/>
      <c r="F49" s="156"/>
      <c r="G49" s="39"/>
    </row>
    <row r="50" spans="1:7" ht="24" x14ac:dyDescent="0.35">
      <c r="A50" s="131" t="s">
        <v>39</v>
      </c>
      <c r="B50" s="131"/>
      <c r="C50" s="40" t="s">
        <v>0</v>
      </c>
      <c r="D50" s="41" t="s">
        <v>1</v>
      </c>
      <c r="E50" s="41" t="s">
        <v>40</v>
      </c>
      <c r="F50" s="42" t="s">
        <v>41</v>
      </c>
      <c r="G50" s="39"/>
    </row>
    <row r="51" spans="1:7" ht="34.5" x14ac:dyDescent="0.35">
      <c r="A51" s="132" t="s">
        <v>2</v>
      </c>
      <c r="B51" s="43" t="s">
        <v>42</v>
      </c>
      <c r="C51" s="44">
        <v>2</v>
      </c>
      <c r="D51" s="45">
        <v>2</v>
      </c>
      <c r="E51" s="45">
        <v>2</v>
      </c>
      <c r="F51" s="46">
        <v>2</v>
      </c>
      <c r="G51" s="39"/>
    </row>
    <row r="52" spans="1:7" ht="23" x14ac:dyDescent="0.35">
      <c r="A52" s="133"/>
      <c r="B52" s="47" t="s">
        <v>43</v>
      </c>
      <c r="C52" s="48">
        <v>4</v>
      </c>
      <c r="D52" s="49">
        <v>4</v>
      </c>
      <c r="E52" s="49">
        <v>4</v>
      </c>
      <c r="F52" s="50">
        <v>6</v>
      </c>
      <c r="G52" s="39"/>
    </row>
    <row r="53" spans="1:7" ht="23" x14ac:dyDescent="0.35">
      <c r="A53" s="133"/>
      <c r="B53" s="47" t="s">
        <v>44</v>
      </c>
      <c r="C53" s="48">
        <v>13</v>
      </c>
      <c r="D53" s="49">
        <v>13</v>
      </c>
      <c r="E53" s="49">
        <v>13</v>
      </c>
      <c r="F53" s="50">
        <v>19</v>
      </c>
      <c r="G53" s="39"/>
    </row>
    <row r="54" spans="1:7" x14ac:dyDescent="0.35">
      <c r="A54" s="133"/>
      <c r="B54" s="47" t="s">
        <v>45</v>
      </c>
      <c r="C54" s="48">
        <v>52</v>
      </c>
      <c r="D54" s="49">
        <v>52</v>
      </c>
      <c r="E54" s="49">
        <v>52</v>
      </c>
      <c r="F54" s="50">
        <v>71</v>
      </c>
      <c r="G54" s="39"/>
    </row>
    <row r="55" spans="1:7" ht="23" x14ac:dyDescent="0.35">
      <c r="A55" s="133"/>
      <c r="B55" s="47" t="s">
        <v>46</v>
      </c>
      <c r="C55" s="48">
        <v>29</v>
      </c>
      <c r="D55" s="49">
        <v>28.999999999999996</v>
      </c>
      <c r="E55" s="49">
        <v>28.999999999999996</v>
      </c>
      <c r="F55" s="50">
        <v>100</v>
      </c>
      <c r="G55" s="39"/>
    </row>
    <row r="56" spans="1:7" x14ac:dyDescent="0.35">
      <c r="A56" s="134"/>
      <c r="B56" s="51" t="s">
        <v>14</v>
      </c>
      <c r="C56" s="52">
        <v>100</v>
      </c>
      <c r="D56" s="53">
        <v>100</v>
      </c>
      <c r="E56" s="53">
        <v>100</v>
      </c>
      <c r="F56" s="54"/>
      <c r="G56" s="39"/>
    </row>
    <row r="68" spans="7:7" x14ac:dyDescent="0.35">
      <c r="G68" s="23"/>
    </row>
    <row r="69" spans="7:7" x14ac:dyDescent="0.35">
      <c r="G69" s="23"/>
    </row>
    <row r="70" spans="7:7" x14ac:dyDescent="0.35">
      <c r="G70" s="23"/>
    </row>
    <row r="71" spans="7:7" x14ac:dyDescent="0.35">
      <c r="G71" s="23"/>
    </row>
    <row r="72" spans="7:7" x14ac:dyDescent="0.35">
      <c r="G72" s="23"/>
    </row>
    <row r="73" spans="7:7" x14ac:dyDescent="0.35">
      <c r="G73" s="23"/>
    </row>
    <row r="74" spans="7:7" x14ac:dyDescent="0.35">
      <c r="G74" s="23"/>
    </row>
    <row r="75" spans="7:7" x14ac:dyDescent="0.35">
      <c r="G75" s="23"/>
    </row>
    <row r="77" spans="7:7" x14ac:dyDescent="0.35">
      <c r="G77" s="23"/>
    </row>
    <row r="78" spans="7:7" x14ac:dyDescent="0.35">
      <c r="G78" s="23"/>
    </row>
    <row r="79" spans="7:7" x14ac:dyDescent="0.35">
      <c r="G79" s="23"/>
    </row>
    <row r="80" spans="7:7" x14ac:dyDescent="0.35">
      <c r="G80" s="23"/>
    </row>
    <row r="81" spans="7:7" x14ac:dyDescent="0.35">
      <c r="G81" s="23"/>
    </row>
    <row r="82" spans="7:7" x14ac:dyDescent="0.35">
      <c r="G82" s="23"/>
    </row>
    <row r="83" spans="7:7" x14ac:dyDescent="0.35">
      <c r="G83" s="23"/>
    </row>
    <row r="84" spans="7:7" x14ac:dyDescent="0.35">
      <c r="G84" s="23"/>
    </row>
  </sheetData>
  <mergeCells count="29">
    <mergeCell ref="A1:A2"/>
    <mergeCell ref="B1:C2"/>
    <mergeCell ref="D1:H1"/>
    <mergeCell ref="I1:J2"/>
    <mergeCell ref="A3:A4"/>
    <mergeCell ref="B3:B4"/>
    <mergeCell ref="A5:A6"/>
    <mergeCell ref="B5:B6"/>
    <mergeCell ref="A7:A8"/>
    <mergeCell ref="B7:B8"/>
    <mergeCell ref="A11:A12"/>
    <mergeCell ref="B11:B12"/>
    <mergeCell ref="A33:A38"/>
    <mergeCell ref="A40:F40"/>
    <mergeCell ref="A41:B41"/>
    <mergeCell ref="A42:A47"/>
    <mergeCell ref="A49:F49"/>
    <mergeCell ref="A50:B50"/>
    <mergeCell ref="A51:A56"/>
    <mergeCell ref="A23:F23"/>
    <mergeCell ref="A24:B24"/>
    <mergeCell ref="A25:A29"/>
    <mergeCell ref="A31:F31"/>
    <mergeCell ref="A32:B32"/>
    <mergeCell ref="A9:A10"/>
    <mergeCell ref="B9:B10"/>
    <mergeCell ref="A14:F14"/>
    <mergeCell ref="A15:B15"/>
    <mergeCell ref="A16:A21"/>
  </mergeCells>
  <phoneticPr fontId="4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9445-7F00-4C96-8877-3A4E7E9C4EE9}">
  <dimension ref="A1:T22"/>
  <sheetViews>
    <sheetView workbookViewId="0">
      <selection activeCell="H7" sqref="H7"/>
    </sheetView>
  </sheetViews>
  <sheetFormatPr defaultRowHeight="14.5" x14ac:dyDescent="0.35"/>
  <cols>
    <col min="1" max="1" width="15.36328125" customWidth="1"/>
    <col min="2" max="2" width="4.81640625" bestFit="1" customWidth="1"/>
    <col min="3" max="3" width="7.90625" bestFit="1" customWidth="1"/>
    <col min="4" max="4" width="11.1796875" bestFit="1" customWidth="1"/>
    <col min="5" max="5" width="10.90625" bestFit="1" customWidth="1"/>
  </cols>
  <sheetData>
    <row r="1" spans="1:20" ht="15.5" x14ac:dyDescent="0.35">
      <c r="A1" s="68" t="s">
        <v>60</v>
      </c>
      <c r="B1" s="68" t="s">
        <v>20</v>
      </c>
      <c r="C1" s="68" t="s">
        <v>61</v>
      </c>
      <c r="D1" s="68" t="s">
        <v>62</v>
      </c>
      <c r="E1" s="68" t="s">
        <v>63</v>
      </c>
      <c r="T1" s="61"/>
    </row>
    <row r="2" spans="1:20" ht="15.5" x14ac:dyDescent="0.35">
      <c r="A2" s="125" t="s">
        <v>79</v>
      </c>
      <c r="B2" s="68" t="s">
        <v>31</v>
      </c>
      <c r="C2" s="69" t="str" cm="1">
        <f t="array" ref="C2">INDEX('Validity Result'!C:C, 2*ROW('Validity Result'!C1)-1)</f>
        <v>0,773**</v>
      </c>
      <c r="D2" s="67" cm="1">
        <f t="array" ref="D2">INDEX('Validity Result'!C:C, 2*ROW('Validity Result'!C1))</f>
        <v>4.7008776339921313E-21</v>
      </c>
      <c r="E2" s="68" t="str">
        <f>IF(D2&lt;0.05,"Valid","Tidak Valid")</f>
        <v>Valid</v>
      </c>
      <c r="T2" s="61"/>
    </row>
    <row r="3" spans="1:20" ht="15.5" x14ac:dyDescent="0.35">
      <c r="A3" s="125"/>
      <c r="B3" s="68" t="s">
        <v>32</v>
      </c>
      <c r="C3" s="69" t="str" cm="1">
        <f t="array" ref="C3">INDEX('Validity Result'!C:C, 2*ROW('Validity Result'!C2)-1)</f>
        <v>0,710**</v>
      </c>
      <c r="D3" s="67" cm="1">
        <f t="array" ref="D3">INDEX('Validity Result'!C:C, 2*ROW('Validity Result'!C2))</f>
        <v>1.4191867154814262E-16</v>
      </c>
      <c r="E3" s="68" t="str">
        <f t="shared" ref="E3:E21" si="0">IF(D3&lt;0.05,"Valid","Tidak Valid")</f>
        <v>Valid</v>
      </c>
      <c r="T3" s="61"/>
    </row>
    <row r="4" spans="1:20" ht="15.5" x14ac:dyDescent="0.35">
      <c r="A4" s="125"/>
      <c r="B4" s="68" t="s">
        <v>33</v>
      </c>
      <c r="C4" s="69" t="str" cm="1">
        <f t="array" ref="C4">INDEX('Validity Result'!C:C, 2*ROW('Validity Result'!C3)-1)</f>
        <v>0,647**</v>
      </c>
      <c r="D4" s="67" cm="1">
        <f t="array" ref="D4">INDEX('Validity Result'!C:C, 2*ROW('Validity Result'!C3))</f>
        <v>3.5940333135665462E-13</v>
      </c>
      <c r="E4" s="68" t="str">
        <f t="shared" si="0"/>
        <v>Valid</v>
      </c>
      <c r="T4" s="61"/>
    </row>
    <row r="5" spans="1:20" ht="15.5" x14ac:dyDescent="0.35">
      <c r="A5" s="125"/>
      <c r="B5" s="68" t="s">
        <v>34</v>
      </c>
      <c r="C5" s="69" t="str" cm="1">
        <f t="array" ref="C5">INDEX('Validity Result'!C:C, 2*ROW('Validity Result'!C4)-1)</f>
        <v>0,704**</v>
      </c>
      <c r="D5" s="67" cm="1">
        <f t="array" ref="D5">INDEX('Validity Result'!C:C, 2*ROW('Validity Result'!C4))</f>
        <v>3.0310910698270631E-16</v>
      </c>
      <c r="E5" s="68" t="str">
        <f t="shared" si="0"/>
        <v>Valid</v>
      </c>
      <c r="T5" s="61"/>
    </row>
    <row r="6" spans="1:20" ht="15.5" x14ac:dyDescent="0.35">
      <c r="A6" s="125"/>
      <c r="B6" s="68" t="s">
        <v>35</v>
      </c>
      <c r="C6" s="69" t="str" cm="1">
        <f t="array" ref="C6">INDEX('Validity Result'!C:C, 2*ROW('Validity Result'!C5)-1)</f>
        <v>0,800**</v>
      </c>
      <c r="D6" s="67" cm="1">
        <f t="array" ref="D6">INDEX('Validity Result'!C:C, 2*ROW('Validity Result'!C5))</f>
        <v>1.8031787098950869E-23</v>
      </c>
      <c r="E6" s="68" t="str">
        <f t="shared" si="0"/>
        <v>Valid</v>
      </c>
      <c r="T6" s="61"/>
    </row>
    <row r="7" spans="1:20" ht="15.5" x14ac:dyDescent="0.35">
      <c r="A7" s="125"/>
      <c r="B7" s="68" t="s">
        <v>36</v>
      </c>
      <c r="C7" s="69" t="str" cm="1">
        <f t="array" ref="C7">INDEX('Validity Result'!C:C, 2*ROW('Validity Result'!C6)-1)</f>
        <v>0,758**</v>
      </c>
      <c r="D7" s="67" cm="1">
        <f t="array" ref="D7">INDEX('Validity Result'!C:C, 2*ROW('Validity Result'!C6))</f>
        <v>6.5687207191046882E-20</v>
      </c>
      <c r="E7" s="68" t="str">
        <f t="shared" si="0"/>
        <v>Valid</v>
      </c>
      <c r="T7" s="61"/>
    </row>
    <row r="8" spans="1:20" ht="15.5" x14ac:dyDescent="0.35">
      <c r="A8" s="125"/>
      <c r="B8" s="68" t="s">
        <v>37</v>
      </c>
      <c r="C8" s="69" t="str" cm="1">
        <f t="array" ref="C8">INDEX('Validity Result'!C:C, 2*ROW('Validity Result'!C7)-1)</f>
        <v>0,772**</v>
      </c>
      <c r="D8" s="67" cm="1">
        <f t="array" ref="D8">INDEX('Validity Result'!C:C, 2*ROW('Validity Result'!C7))</f>
        <v>4.9119019368373724E-21</v>
      </c>
      <c r="E8" s="68" t="str">
        <f t="shared" si="0"/>
        <v>Valid</v>
      </c>
      <c r="T8" s="61"/>
    </row>
    <row r="9" spans="1:20" ht="15.5" x14ac:dyDescent="0.35">
      <c r="A9" s="125" t="s">
        <v>80</v>
      </c>
      <c r="B9" s="68" t="s">
        <v>47</v>
      </c>
      <c r="C9" s="69" t="str" cm="1">
        <f t="array" ref="C9">INDEX('Validity Result'!C:C, 2*ROW('Validity Result'!C8)-1)</f>
        <v>0,765**</v>
      </c>
      <c r="D9" s="67" cm="1">
        <f t="array" ref="D9">INDEX('Validity Result'!C:C, 2*ROW('Validity Result'!C8))</f>
        <v>1.869703636432805E-20</v>
      </c>
      <c r="E9" s="68" t="str">
        <f t="shared" si="0"/>
        <v>Valid</v>
      </c>
      <c r="T9" s="61"/>
    </row>
    <row r="10" spans="1:20" ht="15.5" x14ac:dyDescent="0.35">
      <c r="A10" s="125"/>
      <c r="B10" s="68" t="s">
        <v>48</v>
      </c>
      <c r="C10" s="69" t="str" cm="1">
        <f t="array" ref="C10">INDEX('Validity Result'!C:C, 2*ROW('Validity Result'!C9)-1)</f>
        <v>0,719**</v>
      </c>
      <c r="D10" s="67" cm="1">
        <f t="array" ref="D10">INDEX('Validity Result'!C:C, 2*ROW('Validity Result'!C9))</f>
        <v>3.4051901648088878E-17</v>
      </c>
      <c r="E10" s="68" t="str">
        <f t="shared" si="0"/>
        <v>Valid</v>
      </c>
      <c r="T10" s="61"/>
    </row>
    <row r="11" spans="1:20" ht="15.5" x14ac:dyDescent="0.35">
      <c r="A11" s="125"/>
      <c r="B11" s="68" t="s">
        <v>49</v>
      </c>
      <c r="C11" s="69" t="str" cm="1">
        <f t="array" ref="C11">INDEX('Validity Result'!C:C, 2*ROW('Validity Result'!C10)-1)</f>
        <v>0,599**</v>
      </c>
      <c r="D11" s="67" cm="1">
        <f t="array" ref="D11">INDEX('Validity Result'!C:C, 2*ROW('Validity Result'!C10))</f>
        <v>4.8093236223979519E-11</v>
      </c>
      <c r="E11" s="68" t="str">
        <f t="shared" si="0"/>
        <v>Valid</v>
      </c>
      <c r="T11" s="61"/>
    </row>
    <row r="12" spans="1:20" ht="15.5" x14ac:dyDescent="0.35">
      <c r="A12" s="125"/>
      <c r="B12" s="68" t="s">
        <v>50</v>
      </c>
      <c r="C12" s="69" t="str" cm="1">
        <f t="array" ref="C12">INDEX('Validity Result'!C:C, 2*ROW('Validity Result'!C11)-1)</f>
        <v>0,648**</v>
      </c>
      <c r="D12" s="67" cm="1">
        <f t="array" ref="D12">INDEX('Validity Result'!C:C, 2*ROW('Validity Result'!C11))</f>
        <v>3.0677112959719717E-13</v>
      </c>
      <c r="E12" s="68" t="str">
        <f t="shared" si="0"/>
        <v>Valid</v>
      </c>
      <c r="T12" s="61"/>
    </row>
    <row r="13" spans="1:20" ht="15.5" x14ac:dyDescent="0.35">
      <c r="A13" s="125"/>
      <c r="B13" s="68" t="s">
        <v>51</v>
      </c>
      <c r="C13" s="69" t="str" cm="1">
        <f t="array" ref="C13">INDEX('Validity Result'!C:C, 2*ROW('Validity Result'!C12)-1)</f>
        <v>0,681**</v>
      </c>
      <c r="D13" s="67" cm="1">
        <f t="array" ref="D13">INDEX('Validity Result'!C:C, 2*ROW('Validity Result'!C12))</f>
        <v>6.7464819762391013E-15</v>
      </c>
      <c r="E13" s="68" t="str">
        <f t="shared" si="0"/>
        <v>Valid</v>
      </c>
      <c r="T13" s="61"/>
    </row>
    <row r="14" spans="1:20" ht="15.5" x14ac:dyDescent="0.35">
      <c r="A14" s="125"/>
      <c r="B14" s="68" t="s">
        <v>52</v>
      </c>
      <c r="C14" s="69" t="str" cm="1">
        <f t="array" ref="C14">INDEX('Validity Result'!C:C, 2*ROW('Validity Result'!C13)-1)</f>
        <v>0,566**</v>
      </c>
      <c r="D14" s="67" cm="1">
        <f t="array" ref="D14">INDEX('Validity Result'!C:C, 2*ROW('Validity Result'!C13))</f>
        <v>8.4590416802805561E-10</v>
      </c>
      <c r="E14" s="68" t="str">
        <f t="shared" si="0"/>
        <v>Valid</v>
      </c>
      <c r="T14" s="61"/>
    </row>
    <row r="15" spans="1:20" ht="15.5" x14ac:dyDescent="0.35">
      <c r="A15" s="125"/>
      <c r="B15" s="68" t="s">
        <v>53</v>
      </c>
      <c r="C15" s="69" t="str" cm="1">
        <f t="array" ref="C15">INDEX('Validity Result'!C:C, 2*ROW('Validity Result'!C14)-1)</f>
        <v>0,567**</v>
      </c>
      <c r="D15" s="67" cm="1">
        <f t="array" ref="D15">INDEX('Validity Result'!C:C, 2*ROW('Validity Result'!C14))</f>
        <v>7.4892642937662453E-10</v>
      </c>
      <c r="E15" s="68" t="str">
        <f t="shared" si="0"/>
        <v>Valid</v>
      </c>
      <c r="T15" s="61"/>
    </row>
    <row r="16" spans="1:20" ht="15.5" x14ac:dyDescent="0.35">
      <c r="A16" s="125"/>
      <c r="B16" s="68" t="s">
        <v>54</v>
      </c>
      <c r="C16" s="69" t="str" cm="1">
        <f t="array" ref="C16">INDEX('Validity Result'!C:C, 2*ROW('Validity Result'!C15)-1)</f>
        <v>0,583**</v>
      </c>
      <c r="D16" s="67" cm="1">
        <f t="array" ref="D16">INDEX('Validity Result'!C:C, 2*ROW('Validity Result'!C15))</f>
        <v>2.0160643216338756E-10</v>
      </c>
      <c r="E16" s="68" t="str">
        <f t="shared" si="0"/>
        <v>Valid</v>
      </c>
      <c r="T16" s="61"/>
    </row>
    <row r="17" spans="1:20" ht="15.5" x14ac:dyDescent="0.35">
      <c r="A17" s="125" t="s">
        <v>81</v>
      </c>
      <c r="B17" s="68" t="s">
        <v>55</v>
      </c>
      <c r="C17" s="69" t="str" cm="1">
        <f t="array" ref="C17">INDEX('Validity Result'!C:C, 2*ROW('Validity Result'!C16)-1)</f>
        <v>0,722**</v>
      </c>
      <c r="D17" s="67" cm="1">
        <f t="array" ref="D17">INDEX('Validity Result'!C:C, 2*ROW('Validity Result'!C16))</f>
        <v>2.2973327903260557E-17</v>
      </c>
      <c r="E17" s="68" t="str">
        <f t="shared" si="0"/>
        <v>Valid</v>
      </c>
      <c r="T17" s="61"/>
    </row>
    <row r="18" spans="1:20" ht="15.5" x14ac:dyDescent="0.35">
      <c r="A18" s="125"/>
      <c r="B18" s="68" t="s">
        <v>56</v>
      </c>
      <c r="C18" s="69" t="str" cm="1">
        <f t="array" ref="C18">INDEX('Validity Result'!C:C, 2*ROW('Validity Result'!C17)-1)</f>
        <v>0,722**</v>
      </c>
      <c r="D18" s="67" cm="1">
        <f t="array" ref="D18">INDEX('Validity Result'!C:C, 2*ROW('Validity Result'!C17))</f>
        <v>2.4539872685318213E-17</v>
      </c>
      <c r="E18" s="68" t="str">
        <f t="shared" si="0"/>
        <v>Valid</v>
      </c>
      <c r="T18" s="61"/>
    </row>
    <row r="19" spans="1:20" ht="15.5" x14ac:dyDescent="0.35">
      <c r="A19" s="125"/>
      <c r="B19" s="68" t="s">
        <v>57</v>
      </c>
      <c r="C19" s="69" t="str" cm="1">
        <f t="array" ref="C19">INDEX('Validity Result'!C:C, 2*ROW('Validity Result'!C18)-1)</f>
        <v>0,606**</v>
      </c>
      <c r="D19" s="67" cm="1">
        <f t="array" ref="D19">INDEX('Validity Result'!C:C, 2*ROW('Validity Result'!C18))</f>
        <v>2.4456450228676531E-11</v>
      </c>
      <c r="E19" s="68" t="str">
        <f t="shared" si="0"/>
        <v>Valid</v>
      </c>
      <c r="T19" s="61"/>
    </row>
    <row r="20" spans="1:20" ht="15.5" x14ac:dyDescent="0.35">
      <c r="A20" s="125"/>
      <c r="B20" s="68" t="s">
        <v>58</v>
      </c>
      <c r="C20" s="69" t="str" cm="1">
        <f t="array" ref="C20">INDEX('Validity Result'!C:C, 2*ROW('Validity Result'!C19)-1)</f>
        <v>0,717**</v>
      </c>
      <c r="D20" s="67" cm="1">
        <f t="array" ref="D20">INDEX('Validity Result'!C:C, 2*ROW('Validity Result'!C19))</f>
        <v>4.97460692932818E-17</v>
      </c>
      <c r="E20" s="68" t="str">
        <f t="shared" si="0"/>
        <v>Valid</v>
      </c>
      <c r="T20" s="61"/>
    </row>
    <row r="21" spans="1:20" ht="15.5" x14ac:dyDescent="0.35">
      <c r="A21" s="125"/>
      <c r="B21" s="68" t="s">
        <v>59</v>
      </c>
      <c r="C21" s="69" t="str" cm="1">
        <f t="array" ref="C21">INDEX('Validity Result'!C:C, 2*ROW('Validity Result'!C20)-1)</f>
        <v>0,776**</v>
      </c>
      <c r="D21" s="67" cm="1">
        <f t="array" ref="D21">INDEX('Validity Result'!C:C, 2*ROW('Validity Result'!C20))</f>
        <v>2.316530748698332E-21</v>
      </c>
      <c r="E21" s="68" t="str">
        <f t="shared" si="0"/>
        <v>Valid</v>
      </c>
      <c r="T21" s="61"/>
    </row>
    <row r="22" spans="1:20" x14ac:dyDescent="0.35">
      <c r="T22" s="61"/>
    </row>
  </sheetData>
  <mergeCells count="3">
    <mergeCell ref="A2:A8"/>
    <mergeCell ref="A9:A16"/>
    <mergeCell ref="A17:A21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EB20C-8C8F-4ED5-B4BA-8B58B44C28E2}">
  <dimension ref="A1:E50"/>
  <sheetViews>
    <sheetView workbookViewId="0">
      <selection activeCell="G4" sqref="G4"/>
    </sheetView>
  </sheetViews>
  <sheetFormatPr defaultRowHeight="14.5" x14ac:dyDescent="0.35"/>
  <sheetData>
    <row r="1" spans="1:4" ht="34.5" x14ac:dyDescent="0.35">
      <c r="A1" s="66" t="s">
        <v>31</v>
      </c>
      <c r="B1" s="62" t="s">
        <v>65</v>
      </c>
      <c r="C1" s="158" t="s">
        <v>122</v>
      </c>
      <c r="D1" s="61"/>
    </row>
    <row r="2" spans="1:4" ht="23" x14ac:dyDescent="0.35">
      <c r="A2" s="65"/>
      <c r="B2" s="63" t="s">
        <v>66</v>
      </c>
      <c r="C2" s="159">
        <v>4.7008776339921313E-21</v>
      </c>
      <c r="D2" s="61"/>
    </row>
    <row r="3" spans="1:4" ht="34.5" x14ac:dyDescent="0.35">
      <c r="A3" s="64" t="s">
        <v>32</v>
      </c>
      <c r="B3" s="63" t="s">
        <v>65</v>
      </c>
      <c r="C3" s="160" t="s">
        <v>123</v>
      </c>
      <c r="D3" s="61"/>
    </row>
    <row r="4" spans="1:4" ht="23" x14ac:dyDescent="0.35">
      <c r="A4" s="65"/>
      <c r="B4" s="63" t="s">
        <v>66</v>
      </c>
      <c r="C4" s="159">
        <v>1.4191867154814262E-16</v>
      </c>
      <c r="D4" s="61"/>
    </row>
    <row r="5" spans="1:4" ht="34.5" x14ac:dyDescent="0.35">
      <c r="A5" s="64" t="s">
        <v>33</v>
      </c>
      <c r="B5" s="63" t="s">
        <v>65</v>
      </c>
      <c r="C5" s="160" t="s">
        <v>124</v>
      </c>
      <c r="D5" s="61"/>
    </row>
    <row r="6" spans="1:4" ht="23" x14ac:dyDescent="0.35">
      <c r="A6" s="65"/>
      <c r="B6" s="63" t="s">
        <v>66</v>
      </c>
      <c r="C6" s="159">
        <v>3.5940333135665462E-13</v>
      </c>
      <c r="D6" s="61"/>
    </row>
    <row r="7" spans="1:4" ht="34.5" x14ac:dyDescent="0.35">
      <c r="A7" s="64" t="s">
        <v>34</v>
      </c>
      <c r="B7" s="63" t="s">
        <v>65</v>
      </c>
      <c r="C7" s="160" t="s">
        <v>125</v>
      </c>
      <c r="D7" s="61"/>
    </row>
    <row r="8" spans="1:4" ht="23" x14ac:dyDescent="0.35">
      <c r="A8" s="65"/>
      <c r="B8" s="63" t="s">
        <v>66</v>
      </c>
      <c r="C8" s="159">
        <v>3.0310910698270631E-16</v>
      </c>
      <c r="D8" s="61"/>
    </row>
    <row r="9" spans="1:4" ht="34.5" x14ac:dyDescent="0.35">
      <c r="A9" s="64" t="s">
        <v>35</v>
      </c>
      <c r="B9" s="63" t="s">
        <v>65</v>
      </c>
      <c r="C9" s="160" t="s">
        <v>126</v>
      </c>
      <c r="D9" s="61"/>
    </row>
    <row r="10" spans="1:4" ht="23" x14ac:dyDescent="0.35">
      <c r="A10" s="65"/>
      <c r="B10" s="63" t="s">
        <v>66</v>
      </c>
      <c r="C10" s="159">
        <v>1.8031787098950869E-23</v>
      </c>
      <c r="D10" s="61"/>
    </row>
    <row r="11" spans="1:4" ht="34.5" x14ac:dyDescent="0.35">
      <c r="A11" s="64" t="s">
        <v>36</v>
      </c>
      <c r="B11" s="63" t="s">
        <v>65</v>
      </c>
      <c r="C11" s="160" t="s">
        <v>127</v>
      </c>
      <c r="D11" s="61"/>
    </row>
    <row r="12" spans="1:4" ht="23" x14ac:dyDescent="0.35">
      <c r="A12" s="65"/>
      <c r="B12" s="63" t="s">
        <v>66</v>
      </c>
      <c r="C12" s="159">
        <v>6.5687207191046882E-20</v>
      </c>
      <c r="D12" s="61"/>
    </row>
    <row r="13" spans="1:4" ht="34.5" x14ac:dyDescent="0.35">
      <c r="A13" s="64" t="s">
        <v>37</v>
      </c>
      <c r="B13" s="63" t="s">
        <v>65</v>
      </c>
      <c r="C13" s="160" t="s">
        <v>128</v>
      </c>
      <c r="D13" s="61"/>
    </row>
    <row r="14" spans="1:4" ht="23" x14ac:dyDescent="0.35">
      <c r="A14" s="65"/>
      <c r="B14" s="63" t="s">
        <v>66</v>
      </c>
      <c r="C14" s="159">
        <v>4.9119019368373724E-21</v>
      </c>
      <c r="D14" s="61"/>
    </row>
    <row r="15" spans="1:4" ht="34.5" x14ac:dyDescent="0.35">
      <c r="A15" s="66" t="s">
        <v>47</v>
      </c>
      <c r="B15" s="62" t="s">
        <v>65</v>
      </c>
      <c r="C15" s="158" t="s">
        <v>68</v>
      </c>
    </row>
    <row r="16" spans="1:4" ht="23" x14ac:dyDescent="0.35">
      <c r="A16" s="65"/>
      <c r="B16" s="63" t="s">
        <v>66</v>
      </c>
      <c r="C16" s="159">
        <v>1.869703636432805E-20</v>
      </c>
    </row>
    <row r="17" spans="1:5" ht="34.5" x14ac:dyDescent="0.35">
      <c r="A17" s="64" t="s">
        <v>48</v>
      </c>
      <c r="B17" s="63" t="s">
        <v>65</v>
      </c>
      <c r="C17" s="160" t="s">
        <v>69</v>
      </c>
    </row>
    <row r="18" spans="1:5" ht="23" x14ac:dyDescent="0.35">
      <c r="A18" s="65"/>
      <c r="B18" s="63" t="s">
        <v>66</v>
      </c>
      <c r="C18" s="159">
        <v>3.4051901648088878E-17</v>
      </c>
    </row>
    <row r="19" spans="1:5" ht="34.5" x14ac:dyDescent="0.35">
      <c r="A19" s="64" t="s">
        <v>49</v>
      </c>
      <c r="B19" s="63" t="s">
        <v>65</v>
      </c>
      <c r="C19" s="160" t="s">
        <v>70</v>
      </c>
    </row>
    <row r="20" spans="1:5" ht="23" x14ac:dyDescent="0.35">
      <c r="A20" s="65"/>
      <c r="B20" s="63" t="s">
        <v>66</v>
      </c>
      <c r="C20" s="159">
        <v>4.8093236223979519E-11</v>
      </c>
    </row>
    <row r="21" spans="1:5" ht="34.5" x14ac:dyDescent="0.35">
      <c r="A21" s="64" t="s">
        <v>50</v>
      </c>
      <c r="B21" s="63" t="s">
        <v>65</v>
      </c>
      <c r="C21" s="160" t="s">
        <v>71</v>
      </c>
    </row>
    <row r="22" spans="1:5" ht="23" x14ac:dyDescent="0.35">
      <c r="A22" s="65"/>
      <c r="B22" s="63" t="s">
        <v>66</v>
      </c>
      <c r="C22" s="159">
        <v>3.0677112959719717E-13</v>
      </c>
    </row>
    <row r="23" spans="1:5" ht="34.5" x14ac:dyDescent="0.35">
      <c r="A23" s="64" t="s">
        <v>51</v>
      </c>
      <c r="B23" s="63" t="s">
        <v>65</v>
      </c>
      <c r="C23" s="160" t="s">
        <v>72</v>
      </c>
    </row>
    <row r="24" spans="1:5" ht="23" x14ac:dyDescent="0.35">
      <c r="A24" s="65"/>
      <c r="B24" s="63" t="s">
        <v>66</v>
      </c>
      <c r="C24" s="159">
        <v>6.7464819762391013E-15</v>
      </c>
    </row>
    <row r="25" spans="1:5" ht="34.5" x14ac:dyDescent="0.35">
      <c r="A25" s="64" t="s">
        <v>52</v>
      </c>
      <c r="B25" s="63" t="s">
        <v>65</v>
      </c>
      <c r="C25" s="160" t="s">
        <v>73</v>
      </c>
    </row>
    <row r="26" spans="1:5" ht="23" x14ac:dyDescent="0.35">
      <c r="A26" s="65"/>
      <c r="B26" s="63" t="s">
        <v>66</v>
      </c>
      <c r="C26" s="159">
        <v>8.4590416802805561E-10</v>
      </c>
    </row>
    <row r="27" spans="1:5" ht="34.5" x14ac:dyDescent="0.35">
      <c r="A27" s="64" t="s">
        <v>53</v>
      </c>
      <c r="B27" s="63" t="s">
        <v>65</v>
      </c>
      <c r="C27" s="160" t="s">
        <v>74</v>
      </c>
    </row>
    <row r="28" spans="1:5" ht="23" x14ac:dyDescent="0.35">
      <c r="A28" s="65"/>
      <c r="B28" s="63" t="s">
        <v>66</v>
      </c>
      <c r="C28" s="159">
        <v>7.4892642937662453E-10</v>
      </c>
    </row>
    <row r="29" spans="1:5" ht="34.5" x14ac:dyDescent="0.35">
      <c r="A29" s="64" t="s">
        <v>54</v>
      </c>
      <c r="B29" s="63" t="s">
        <v>65</v>
      </c>
      <c r="C29" s="160" t="s">
        <v>75</v>
      </c>
    </row>
    <row r="30" spans="1:5" ht="23" x14ac:dyDescent="0.35">
      <c r="A30" s="65"/>
      <c r="B30" s="63" t="s">
        <v>66</v>
      </c>
      <c r="C30" s="159">
        <v>2.0160643216338756E-10</v>
      </c>
    </row>
    <row r="31" spans="1:5" ht="34.5" x14ac:dyDescent="0.35">
      <c r="A31" s="66" t="s">
        <v>55</v>
      </c>
      <c r="B31" s="62" t="s">
        <v>65</v>
      </c>
      <c r="C31" s="158" t="s">
        <v>129</v>
      </c>
      <c r="E31" s="157"/>
    </row>
    <row r="32" spans="1:5" ht="23" x14ac:dyDescent="0.35">
      <c r="A32" s="65"/>
      <c r="B32" s="63" t="s">
        <v>66</v>
      </c>
      <c r="C32" s="159">
        <v>2.2973327903260557E-17</v>
      </c>
      <c r="E32" s="157"/>
    </row>
    <row r="33" spans="1:5" ht="34.5" x14ac:dyDescent="0.35">
      <c r="A33" s="64" t="s">
        <v>56</v>
      </c>
      <c r="B33" s="63" t="s">
        <v>65</v>
      </c>
      <c r="C33" s="160" t="s">
        <v>129</v>
      </c>
      <c r="E33" s="157"/>
    </row>
    <row r="34" spans="1:5" ht="23" x14ac:dyDescent="0.35">
      <c r="A34" s="65"/>
      <c r="B34" s="63" t="s">
        <v>66</v>
      </c>
      <c r="C34" s="159">
        <v>2.4539872685318213E-17</v>
      </c>
      <c r="E34" s="157"/>
    </row>
    <row r="35" spans="1:5" ht="34.5" x14ac:dyDescent="0.35">
      <c r="A35" s="64" t="s">
        <v>57</v>
      </c>
      <c r="B35" s="63" t="s">
        <v>65</v>
      </c>
      <c r="C35" s="160" t="s">
        <v>76</v>
      </c>
      <c r="E35" s="157"/>
    </row>
    <row r="36" spans="1:5" ht="23" x14ac:dyDescent="0.35">
      <c r="A36" s="65"/>
      <c r="B36" s="63" t="s">
        <v>66</v>
      </c>
      <c r="C36" s="159">
        <v>2.4456450228676531E-11</v>
      </c>
      <c r="E36" s="157"/>
    </row>
    <row r="37" spans="1:5" ht="34.5" x14ac:dyDescent="0.35">
      <c r="A37" s="64" t="s">
        <v>58</v>
      </c>
      <c r="B37" s="63" t="s">
        <v>65</v>
      </c>
      <c r="C37" s="160" t="s">
        <v>77</v>
      </c>
      <c r="E37" s="157"/>
    </row>
    <row r="38" spans="1:5" ht="23" x14ac:dyDescent="0.35">
      <c r="A38" s="65"/>
      <c r="B38" s="63" t="s">
        <v>66</v>
      </c>
      <c r="C38" s="159">
        <v>4.97460692932818E-17</v>
      </c>
      <c r="E38" s="157"/>
    </row>
    <row r="39" spans="1:5" ht="34.5" x14ac:dyDescent="0.35">
      <c r="A39" s="64" t="s">
        <v>59</v>
      </c>
      <c r="B39" s="63" t="s">
        <v>65</v>
      </c>
      <c r="C39" s="160" t="s">
        <v>130</v>
      </c>
      <c r="E39" s="157"/>
    </row>
    <row r="40" spans="1:5" ht="23" x14ac:dyDescent="0.35">
      <c r="A40" s="65"/>
      <c r="B40" s="63" t="s">
        <v>66</v>
      </c>
      <c r="C40" s="159">
        <v>2.316530748698332E-21</v>
      </c>
      <c r="E40" s="157"/>
    </row>
    <row r="41" spans="1:5" x14ac:dyDescent="0.35">
      <c r="E41" s="157"/>
    </row>
    <row r="42" spans="1:5" x14ac:dyDescent="0.35">
      <c r="E42" s="157"/>
    </row>
    <row r="43" spans="1:5" x14ac:dyDescent="0.35">
      <c r="E43" s="157"/>
    </row>
    <row r="44" spans="1:5" x14ac:dyDescent="0.35">
      <c r="E44" s="157"/>
    </row>
    <row r="45" spans="1:5" x14ac:dyDescent="0.35">
      <c r="E45" s="157"/>
    </row>
    <row r="46" spans="1:5" x14ac:dyDescent="0.35">
      <c r="E46" s="157"/>
    </row>
    <row r="47" spans="1:5" x14ac:dyDescent="0.35">
      <c r="E47" s="157"/>
    </row>
    <row r="48" spans="1:5" x14ac:dyDescent="0.35">
      <c r="E48" s="157"/>
    </row>
    <row r="49" spans="5:5" x14ac:dyDescent="0.35">
      <c r="E49" s="157"/>
    </row>
    <row r="50" spans="5:5" x14ac:dyDescent="0.35">
      <c r="E50" s="15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40DA-7242-4744-9FB4-438A06A4B233}">
  <dimension ref="A1:C4"/>
  <sheetViews>
    <sheetView workbookViewId="0">
      <selection activeCell="C10" sqref="C10"/>
    </sheetView>
  </sheetViews>
  <sheetFormatPr defaultRowHeight="14.5" x14ac:dyDescent="0.35"/>
  <cols>
    <col min="1" max="1" width="23.453125" bestFit="1" customWidth="1"/>
    <col min="2" max="2" width="6.453125" bestFit="1" customWidth="1"/>
    <col min="3" max="3" width="14.6328125" bestFit="1" customWidth="1"/>
  </cols>
  <sheetData>
    <row r="1" spans="1:3" ht="15.5" thickBot="1" x14ac:dyDescent="0.4">
      <c r="A1" s="70" t="s">
        <v>60</v>
      </c>
      <c r="B1" s="71" t="s">
        <v>78</v>
      </c>
      <c r="C1" s="71" t="s">
        <v>63</v>
      </c>
    </row>
    <row r="2" spans="1:3" ht="18" thickBot="1" x14ac:dyDescent="0.4">
      <c r="A2" s="72" t="s">
        <v>82</v>
      </c>
      <c r="B2" s="73">
        <f>'Reliability Result'!B2</f>
        <v>0.85838037527012601</v>
      </c>
      <c r="C2" s="74" t="str">
        <f>IF(B2&gt;0.7,"Reliabel","Tidak Reliabel")</f>
        <v>Reliabel</v>
      </c>
    </row>
    <row r="3" spans="1:3" ht="18" thickBot="1" x14ac:dyDescent="0.4">
      <c r="A3" s="72" t="s">
        <v>83</v>
      </c>
      <c r="B3" s="73">
        <f>'Reliability Result'!B3</f>
        <v>0.79153893022172594</v>
      </c>
      <c r="C3" s="74" t="str">
        <f t="shared" ref="C3:C4" si="0">IF(B3&gt;0.7,"Reliabel","Tidak Reliabel")</f>
        <v>Reliabel</v>
      </c>
    </row>
    <row r="4" spans="1:3" ht="16" thickBot="1" x14ac:dyDescent="0.4">
      <c r="A4" s="72" t="s">
        <v>81</v>
      </c>
      <c r="B4" s="73">
        <f>'Reliability Result'!B4</f>
        <v>0.75070988451049103</v>
      </c>
      <c r="C4" s="74" t="str">
        <f t="shared" si="0"/>
        <v>Reliabel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770F-50B1-4C0A-8829-EDEAC0C3B938}">
  <dimension ref="A1:D4"/>
  <sheetViews>
    <sheetView tabSelected="1" workbookViewId="0">
      <selection activeCell="F10" sqref="F10"/>
    </sheetView>
  </sheetViews>
  <sheetFormatPr defaultRowHeight="14.5" x14ac:dyDescent="0.35"/>
  <cols>
    <col min="1" max="1" width="21.08984375" bestFit="1" customWidth="1"/>
  </cols>
  <sheetData>
    <row r="1" spans="1:4" ht="24" x14ac:dyDescent="0.35">
      <c r="B1" s="76" t="s">
        <v>84</v>
      </c>
      <c r="C1" s="77" t="s">
        <v>85</v>
      </c>
      <c r="D1" s="75"/>
    </row>
    <row r="2" spans="1:4" ht="18" thickBot="1" x14ac:dyDescent="0.4">
      <c r="A2" s="72" t="s">
        <v>82</v>
      </c>
      <c r="B2" s="78">
        <v>0.85838037527012601</v>
      </c>
      <c r="C2" s="79">
        <v>7</v>
      </c>
      <c r="D2" s="75"/>
    </row>
    <row r="3" spans="1:4" ht="18" thickBot="1" x14ac:dyDescent="0.4">
      <c r="A3" s="72" t="s">
        <v>83</v>
      </c>
      <c r="B3" s="78">
        <v>0.79153893022172594</v>
      </c>
      <c r="C3" s="79">
        <v>8</v>
      </c>
      <c r="D3" s="75"/>
    </row>
    <row r="4" spans="1:4" ht="16" thickBot="1" x14ac:dyDescent="0.4">
      <c r="A4" s="72" t="s">
        <v>81</v>
      </c>
      <c r="B4" s="78">
        <v>0.75070988451049103</v>
      </c>
      <c r="C4" s="79">
        <v>5</v>
      </c>
      <c r="D4" s="7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E851-36F9-43DF-840F-5339B2E6AE2D}">
  <dimension ref="A1:E3"/>
  <sheetViews>
    <sheetView zoomScale="108" workbookViewId="0">
      <selection activeCell="H8" sqref="H8"/>
    </sheetView>
  </sheetViews>
  <sheetFormatPr defaultRowHeight="14.5" x14ac:dyDescent="0.35"/>
  <cols>
    <col min="1" max="1" width="4" style="98" bestFit="1" customWidth="1"/>
    <col min="2" max="2" width="21.08984375" style="98" bestFit="1" customWidth="1"/>
    <col min="3" max="3" width="10.1796875" style="98" bestFit="1" customWidth="1"/>
    <col min="4" max="4" width="6.26953125" style="98" bestFit="1" customWidth="1"/>
    <col min="5" max="5" width="19.7265625" style="98" bestFit="1" customWidth="1"/>
    <col min="6" max="16384" width="8.7265625" style="98"/>
  </cols>
  <sheetData>
    <row r="1" spans="1:5" ht="15" x14ac:dyDescent="0.35">
      <c r="A1" s="99" t="s">
        <v>101</v>
      </c>
      <c r="B1" s="99" t="s">
        <v>102</v>
      </c>
      <c r="C1" s="99" t="s">
        <v>95</v>
      </c>
      <c r="D1" s="99" t="s">
        <v>96</v>
      </c>
      <c r="E1" s="99" t="s">
        <v>63</v>
      </c>
    </row>
    <row r="2" spans="1:5" ht="17.5" x14ac:dyDescent="0.35">
      <c r="A2" s="68" t="s">
        <v>103</v>
      </c>
      <c r="B2" s="68" t="s">
        <v>82</v>
      </c>
      <c r="C2" s="68">
        <f>'Multicol Result'!H5</f>
        <v>0.4431408176663636</v>
      </c>
      <c r="D2" s="68">
        <f>'Multicol Result'!I5</f>
        <v>2.2566190252257248</v>
      </c>
      <c r="E2" s="99" t="str">
        <f>IF(D2&lt;10,"Tidak Multikolinier","Multikolinier")</f>
        <v>Tidak Multikolinier</v>
      </c>
    </row>
    <row r="3" spans="1:5" ht="17.5" x14ac:dyDescent="0.35">
      <c r="A3" s="68" t="s">
        <v>104</v>
      </c>
      <c r="B3" s="68" t="s">
        <v>83</v>
      </c>
      <c r="C3" s="68">
        <f>'Multicol Result'!H6</f>
        <v>0.44314081766636365</v>
      </c>
      <c r="D3" s="68">
        <f>'Multicol Result'!I6</f>
        <v>2.2566190252257243</v>
      </c>
      <c r="E3" s="99" t="str">
        <f>IF(D3&lt;10,"Tidak Multikolinier","Multikolinier")</f>
        <v>Tidak Multikolinier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88F0-350B-4680-84FB-CD8FF1A123AF}">
  <dimension ref="A1:J7"/>
  <sheetViews>
    <sheetView workbookViewId="0">
      <selection activeCell="E12" sqref="E12"/>
    </sheetView>
  </sheetViews>
  <sheetFormatPr defaultRowHeight="14.5" x14ac:dyDescent="0.35"/>
  <sheetData>
    <row r="1" spans="1:10" ht="14.5" customHeight="1" x14ac:dyDescent="0.35">
      <c r="A1" s="161" t="s">
        <v>100</v>
      </c>
      <c r="B1" s="161"/>
      <c r="C1" s="161"/>
      <c r="D1" s="161"/>
      <c r="E1" s="161"/>
      <c r="F1" s="161"/>
      <c r="G1" s="161"/>
      <c r="H1" s="161"/>
      <c r="I1" s="161"/>
      <c r="J1" s="80"/>
    </row>
    <row r="2" spans="1:10" ht="47" x14ac:dyDescent="0.35">
      <c r="A2" s="162" t="s">
        <v>86</v>
      </c>
      <c r="B2" s="162"/>
      <c r="C2" s="139" t="s">
        <v>87</v>
      </c>
      <c r="D2" s="140"/>
      <c r="E2" s="81" t="s">
        <v>88</v>
      </c>
      <c r="F2" s="140" t="s">
        <v>89</v>
      </c>
      <c r="G2" s="140" t="s">
        <v>90</v>
      </c>
      <c r="H2" s="140" t="s">
        <v>91</v>
      </c>
      <c r="I2" s="142"/>
      <c r="J2" s="80"/>
    </row>
    <row r="3" spans="1:10" x14ac:dyDescent="0.35">
      <c r="A3" s="138"/>
      <c r="B3" s="138"/>
      <c r="C3" s="82" t="s">
        <v>92</v>
      </c>
      <c r="D3" s="83" t="s">
        <v>93</v>
      </c>
      <c r="E3" s="83" t="s">
        <v>94</v>
      </c>
      <c r="F3" s="141"/>
      <c r="G3" s="141"/>
      <c r="H3" s="83" t="s">
        <v>95</v>
      </c>
      <c r="I3" s="84" t="s">
        <v>96</v>
      </c>
      <c r="J3" s="80"/>
    </row>
    <row r="4" spans="1:10" x14ac:dyDescent="0.35">
      <c r="A4" s="135" t="s">
        <v>97</v>
      </c>
      <c r="B4" s="85" t="s">
        <v>98</v>
      </c>
      <c r="C4" s="86">
        <v>6.8138266069621123</v>
      </c>
      <c r="D4" s="87">
        <v>1.6428426145569608</v>
      </c>
      <c r="E4" s="88"/>
      <c r="F4" s="87">
        <v>4.1475833087027967</v>
      </c>
      <c r="G4" s="87">
        <v>7.2055969864952672E-5</v>
      </c>
      <c r="H4" s="88"/>
      <c r="I4" s="89"/>
      <c r="J4" s="80"/>
    </row>
    <row r="5" spans="1:10" x14ac:dyDescent="0.35">
      <c r="A5" s="136"/>
      <c r="B5" s="90" t="s">
        <v>64</v>
      </c>
      <c r="C5" s="91">
        <v>0.19639580443125534</v>
      </c>
      <c r="D5" s="92">
        <v>7.1265712741108933E-2</v>
      </c>
      <c r="E5" s="92">
        <v>0.31659231218057815</v>
      </c>
      <c r="F5" s="92">
        <v>2.7558246017227628</v>
      </c>
      <c r="G5" s="92">
        <v>6.9937737697240362E-3</v>
      </c>
      <c r="H5" s="92">
        <v>0.4431408176663636</v>
      </c>
      <c r="I5" s="93">
        <v>2.2566190252257248</v>
      </c>
      <c r="J5" s="80"/>
    </row>
    <row r="6" spans="1:10" x14ac:dyDescent="0.35">
      <c r="A6" s="137"/>
      <c r="B6" s="94" t="s">
        <v>67</v>
      </c>
      <c r="C6" s="95">
        <v>0.25322464872595835</v>
      </c>
      <c r="D6" s="96">
        <v>7.519410884106692E-2</v>
      </c>
      <c r="E6" s="96">
        <v>0.38687525489236929</v>
      </c>
      <c r="F6" s="96">
        <v>3.3676128705931396</v>
      </c>
      <c r="G6" s="96">
        <v>1.0884281033132618E-3</v>
      </c>
      <c r="H6" s="96">
        <v>0.44314081766636365</v>
      </c>
      <c r="I6" s="97">
        <v>2.2566190252257243</v>
      </c>
      <c r="J6" s="80"/>
    </row>
    <row r="7" spans="1:10" ht="14.5" customHeight="1" x14ac:dyDescent="0.35">
      <c r="A7" s="163" t="s">
        <v>99</v>
      </c>
      <c r="B7" s="163"/>
      <c r="C7" s="163"/>
      <c r="D7" s="163"/>
      <c r="E7" s="163"/>
      <c r="F7" s="163"/>
      <c r="G7" s="163"/>
      <c r="H7" s="163"/>
      <c r="I7" s="163"/>
      <c r="J7" s="80"/>
    </row>
  </sheetData>
  <mergeCells count="8">
    <mergeCell ref="A1:I1"/>
    <mergeCell ref="A2:B3"/>
    <mergeCell ref="C2:D2"/>
    <mergeCell ref="F2:F3"/>
    <mergeCell ref="G2:G3"/>
    <mergeCell ref="H2:I2"/>
    <mergeCell ref="A4:A6"/>
    <mergeCell ref="A7:I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ED67-523F-46D2-96FF-0FC8A03ED536}">
  <dimension ref="A1:C3"/>
  <sheetViews>
    <sheetView workbookViewId="0">
      <selection sqref="A1:C3"/>
    </sheetView>
  </sheetViews>
  <sheetFormatPr defaultRowHeight="14.5" x14ac:dyDescent="0.35"/>
  <cols>
    <col min="1" max="1" width="21.08984375" bestFit="1" customWidth="1"/>
    <col min="2" max="2" width="6.26953125" bestFit="1" customWidth="1"/>
    <col min="3" max="3" width="18.1796875" bestFit="1" customWidth="1"/>
  </cols>
  <sheetData>
    <row r="1" spans="1:3" ht="15.5" x14ac:dyDescent="0.35">
      <c r="A1" s="68" t="s">
        <v>105</v>
      </c>
      <c r="B1" s="68" t="s">
        <v>90</v>
      </c>
      <c r="C1" s="68" t="s">
        <v>63</v>
      </c>
    </row>
    <row r="2" spans="1:3" ht="17.5" x14ac:dyDescent="0.35">
      <c r="A2" s="68" t="s">
        <v>82</v>
      </c>
      <c r="B2" s="68">
        <f>'Homoscedasticity Result'!G5</f>
        <v>0.86275310187293131</v>
      </c>
      <c r="C2" s="68" t="str">
        <f>IF(B2&gt;0.05,"Homoskedastisitas","Heteroskedastisitas")</f>
        <v>Homoskedastisitas</v>
      </c>
    </row>
    <row r="3" spans="1:3" ht="17.5" x14ac:dyDescent="0.35">
      <c r="A3" s="68" t="s">
        <v>83</v>
      </c>
      <c r="B3" s="68">
        <f>'Homoscedasticity Result'!G6</f>
        <v>0.41769941735478633</v>
      </c>
      <c r="C3" s="68" t="str">
        <f>IF(B3&gt;0.05,"Homoskedastisitas","Heteroskedastisitas")</f>
        <v>Homoskedastisitas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2E76-C510-43AA-8111-3895F6C00AA8}">
  <dimension ref="A1:J7"/>
  <sheetViews>
    <sheetView workbookViewId="0">
      <selection activeCell="G12" sqref="G12"/>
    </sheetView>
  </sheetViews>
  <sheetFormatPr defaultRowHeight="14.5" x14ac:dyDescent="0.35"/>
  <sheetData>
    <row r="1" spans="1:10" ht="14.5" customHeight="1" x14ac:dyDescent="0.35">
      <c r="A1" s="164" t="s">
        <v>100</v>
      </c>
      <c r="B1" s="164"/>
      <c r="C1" s="164"/>
      <c r="D1" s="164"/>
      <c r="E1" s="164"/>
      <c r="F1" s="164"/>
      <c r="G1" s="164"/>
      <c r="H1" s="164"/>
      <c r="I1" s="164"/>
      <c r="J1" s="100"/>
    </row>
    <row r="2" spans="1:10" ht="47" x14ac:dyDescent="0.35">
      <c r="A2" s="165" t="s">
        <v>86</v>
      </c>
      <c r="B2" s="165"/>
      <c r="C2" s="144" t="s">
        <v>87</v>
      </c>
      <c r="D2" s="145"/>
      <c r="E2" s="101" t="s">
        <v>88</v>
      </c>
      <c r="F2" s="145" t="s">
        <v>89</v>
      </c>
      <c r="G2" s="145" t="s">
        <v>90</v>
      </c>
      <c r="H2" s="145" t="s">
        <v>91</v>
      </c>
      <c r="I2" s="147"/>
      <c r="J2" s="100"/>
    </row>
    <row r="3" spans="1:10" x14ac:dyDescent="0.35">
      <c r="A3" s="143"/>
      <c r="B3" s="143"/>
      <c r="C3" s="102" t="s">
        <v>92</v>
      </c>
      <c r="D3" s="103" t="s">
        <v>93</v>
      </c>
      <c r="E3" s="103" t="s">
        <v>94</v>
      </c>
      <c r="F3" s="146"/>
      <c r="G3" s="146"/>
      <c r="H3" s="103" t="s">
        <v>95</v>
      </c>
      <c r="I3" s="104" t="s">
        <v>96</v>
      </c>
      <c r="J3" s="100"/>
    </row>
    <row r="4" spans="1:10" x14ac:dyDescent="0.35">
      <c r="A4" s="148" t="s">
        <v>97</v>
      </c>
      <c r="B4" s="105" t="s">
        <v>98</v>
      </c>
      <c r="C4" s="106">
        <v>-2.0369056391159573E-2</v>
      </c>
      <c r="D4" s="107">
        <v>1.1442433631432909</v>
      </c>
      <c r="E4" s="108"/>
      <c r="F4" s="107">
        <v>-1.780133234524936E-2</v>
      </c>
      <c r="G4" s="107">
        <v>0.98583390659509151</v>
      </c>
      <c r="H4" s="108"/>
      <c r="I4" s="166"/>
      <c r="J4" s="100"/>
    </row>
    <row r="5" spans="1:10" x14ac:dyDescent="0.35">
      <c r="A5" s="149"/>
      <c r="B5" s="109" t="s">
        <v>64</v>
      </c>
      <c r="C5" s="110">
        <v>8.6035409827306866E-3</v>
      </c>
      <c r="D5" s="111">
        <v>4.9636719976174415E-2</v>
      </c>
      <c r="E5" s="111">
        <v>2.6163924861757091E-2</v>
      </c>
      <c r="F5" s="111">
        <v>0.17333016740147977</v>
      </c>
      <c r="G5" s="111">
        <v>0.86275310187293131</v>
      </c>
      <c r="H5" s="111">
        <v>0.4431408176663636</v>
      </c>
      <c r="I5" s="112">
        <v>2.2566190252257248</v>
      </c>
      <c r="J5" s="100"/>
    </row>
    <row r="6" spans="1:10" x14ac:dyDescent="0.35">
      <c r="A6" s="150"/>
      <c r="B6" s="113" t="s">
        <v>67</v>
      </c>
      <c r="C6" s="114">
        <v>4.2625930779586027E-2</v>
      </c>
      <c r="D6" s="115">
        <v>5.2372856186268482E-2</v>
      </c>
      <c r="E6" s="115">
        <v>0.1228559948551556</v>
      </c>
      <c r="F6" s="115">
        <v>0.81389356784329858</v>
      </c>
      <c r="G6" s="115">
        <v>0.41769941735478633</v>
      </c>
      <c r="H6" s="115">
        <v>0.44314081766636365</v>
      </c>
      <c r="I6" s="116">
        <v>2.2566190252257243</v>
      </c>
      <c r="J6" s="100"/>
    </row>
    <row r="7" spans="1:10" ht="14.5" customHeight="1" x14ac:dyDescent="0.35">
      <c r="A7" s="167" t="s">
        <v>106</v>
      </c>
      <c r="B7" s="167"/>
      <c r="C7" s="167"/>
      <c r="D7" s="167"/>
      <c r="E7" s="167"/>
      <c r="F7" s="167"/>
      <c r="G7" s="167"/>
      <c r="H7" s="167"/>
      <c r="I7" s="167"/>
      <c r="J7" s="100"/>
    </row>
  </sheetData>
  <mergeCells count="8">
    <mergeCell ref="A1:I1"/>
    <mergeCell ref="A2:B3"/>
    <mergeCell ref="C2:D2"/>
    <mergeCell ref="F2:F3"/>
    <mergeCell ref="G2:G3"/>
    <mergeCell ref="H2:I2"/>
    <mergeCell ref="A4:A6"/>
    <mergeCell ref="A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Masa Kerja</vt:lpstr>
      <vt:lpstr>Pendidikan Terakhir</vt:lpstr>
      <vt:lpstr>Jabatan</vt:lpstr>
      <vt:lpstr>X1</vt:lpstr>
      <vt:lpstr>X2</vt:lpstr>
      <vt:lpstr>Y</vt:lpstr>
      <vt:lpstr>Validitas</vt:lpstr>
      <vt:lpstr>Validity Result</vt:lpstr>
      <vt:lpstr>Reliabilitas</vt:lpstr>
      <vt:lpstr>Reliability Result</vt:lpstr>
      <vt:lpstr>Multikolinieritas</vt:lpstr>
      <vt:lpstr>Multicol Result</vt:lpstr>
      <vt:lpstr>Homoskedastisitas</vt:lpstr>
      <vt:lpstr>Homoscedasticity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2025-03-23T05:55:35Z</dcterms:created>
  <dcterms:modified xsi:type="dcterms:W3CDTF">2025-03-25T18:59:10Z</dcterms:modified>
</cp:coreProperties>
</file>